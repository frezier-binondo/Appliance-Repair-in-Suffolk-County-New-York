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4.xml.rels" ContentType="application/vnd.openxmlformats-package.relationship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Summary" sheetId="2" state="visible" r:id="rId4"/>
    <sheet name="SEO Silo" sheetId="3" state="visible" r:id="rId5"/>
    <sheet name="Link Map" sheetId="4" state="visible" r:id="rId6"/>
    <sheet name="Blog Topics" sheetId="5" state="visible" r:id="rId7"/>
  </sheets>
  <definedNames>
    <definedName function="false" hidden="true" localSheetId="3" name="_xlnm._FilterDatabase" vbProcedure="false">'Link Map'!$A$1:$D$987</definedName>
    <definedName function="false" hidden="true" localSheetId="2" name="_xlnm._FilterDatabase" vbProcedure="false">'SEO Silo'!$A$1:$T$99</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<sst xmlns="http://schemas.openxmlformats.org/spreadsheetml/2006/main" count="5242" uniqueCount="1040">
  <si>
    <t xml:space="preserve">Suffolk County Appliance Repair - SEO Silo Plan</t>
  </si>
  <si>
    <t xml:space="preserve">98 pages: 5 main, 8 core services, 6 specialty services, 5 town hubs, 4 supporting pages, and 70 service-by-town pages (14 services x 5 towns).</t>
  </si>
  <si>
    <t xml:space="preserve">How to use</t>
  </si>
  <si>
    <t xml:space="preserve">1. 'SEO Silo' is the master sheet: URL slug, meta title, meta description, SEO content, internal and external links for every page.</t>
  </si>
  <si>
    <t xml:space="preserve">2. Meta lengths, word counts, link counts and the word check are live formulas. Edit the blue Word Target cells or the text and they update.</t>
  </si>
  <si>
    <t xml:space="preserve">3. 'Link Map' lists every internal and external link as source -&gt; anchor -&gt; target, ready for your developer or WordPress builder.</t>
  </si>
  <si>
    <t xml:space="preserve">4. 'Blog Topics' has 14 supporting articles that link into the silos.</t>
  </si>
  <si>
    <t xml:space="preserve">Silo structure</t>
  </si>
  <si>
    <t xml:space="preserve">Home -&gt; All Services -&gt; Service page (e.g. /refrigerator-repair/) -&gt; Service + town page (e.g. /refrigerator-repair/huntington-ny/).</t>
  </si>
  <si>
    <t xml:space="preserve">Town hubs (/appliance-repair-huntington-ny/) link down to all 14 service pages for that town. Service-town pages link back up to their service and town hub, sideways to the nearest town, and to 2 related services in the same town.</t>
  </si>
  <si>
    <t xml:space="preserve">Placeholders to replace before publishing (in square brackets in the content)</t>
  </si>
  <si>
    <t xml:space="preserve">[BUSINESS NAME], [PHONE], [INSERT WARRANTY], [INSERT DIAGNOSTIC FEE POLICY], [INSERT SAME-DAY / NEXT-DAY POLICY], [INSERT LICENSING / INSURANCE], plus review, team and address placeholders. Only state licenses, warranties, response times and reviews that are real.</t>
  </si>
  <si>
    <t xml:space="preserve">Important notes</t>
  </si>
  <si>
    <t xml:space="preserve">- Content is structured with H1/H2/H3 labels, Q:/A: for FAQs, and '-' for bullets. Paste into your page builder and apply the matching heading styles.</t>
  </si>
  <si>
    <t xml:space="preserve">- Service-town pages share a common structure and the same appliance advice, but each uses town-specific neighborhoods, housing and appliance context. Google discourages thin, near-duplicate location pages, so before publishing add real local details to each one: jobs you've done, local photos, customer reviews from that town, and any local rules or housing specifics.</t>
  </si>
  <si>
    <t xml:space="preserve">- Only publish town pages for areas you actually serve. Remove any you don't.</t>
  </si>
  <si>
    <t xml:space="preserve">- Slugs are recommendations. If your existing site has URLs, adjust them and the Link Map together.</t>
  </si>
  <si>
    <t xml:space="preserve">- External links point to the official town sites, ENERGY STAR and safety/trade authorities. Confirm each URL still works before launch, and consider rel="noopener" on them.</t>
  </si>
  <si>
    <t xml:space="preserve">- The About, Contact, FAQ, Brands, Service Areas, Reviews and Blog pages had no word target in your plan, so 300-900 words is used as a check range.</t>
  </si>
  <si>
    <t xml:space="preserve">- Meta titles are capped at 60 characters and descriptions at 155. Titles contain [BUSINESS NAME] on a few pages; replace it and re-check the length.</t>
  </si>
  <si>
    <t xml:space="preserve">Page counts and content totals</t>
  </si>
  <si>
    <t xml:space="preserve">Page Type</t>
  </si>
  <si>
    <t xml:space="preserve">Pages</t>
  </si>
  <si>
    <t xml:space="preserve">Total Words</t>
  </si>
  <si>
    <t xml:space="preserve">Avg Words</t>
  </si>
  <si>
    <t xml:space="preserve">Pages Passing Word Check</t>
  </si>
  <si>
    <t xml:space="preserve">Main</t>
  </si>
  <si>
    <t xml:space="preserve">Core Service</t>
  </si>
  <si>
    <t xml:space="preserve">Specialty Service</t>
  </si>
  <si>
    <t xml:space="preserve">Town Hub</t>
  </si>
  <si>
    <t xml:space="preserve">Supporting</t>
  </si>
  <si>
    <t xml:space="preserve">Service + Location</t>
  </si>
  <si>
    <t xml:space="preserve">Total</t>
  </si>
  <si>
    <t xml:space="preserve">Total internal links</t>
  </si>
  <si>
    <t xml:space="preserve">Total external links</t>
  </si>
  <si>
    <t xml:space="preserve">Meta titles over 60 chars</t>
  </si>
  <si>
    <t xml:space="preserve">Meta descriptions over 155 chars</t>
  </si>
  <si>
    <t xml:space="preserve">#</t>
  </si>
  <si>
    <t xml:space="preserve">Silo / Parent</t>
  </si>
  <si>
    <t xml:space="preserve">Page Title (H1)</t>
  </si>
  <si>
    <t xml:space="preserve">URL Slug</t>
  </si>
  <si>
    <t xml:space="preserve">Target Keyword</t>
  </si>
  <si>
    <t xml:space="preserve">Meta Title</t>
  </si>
  <si>
    <t xml:space="preserve">Title Chars</t>
  </si>
  <si>
    <t xml:space="preserve">Meta Description</t>
  </si>
  <si>
    <t xml:space="preserve">Desc Chars</t>
  </si>
  <si>
    <t xml:space="preserve">Words Min</t>
  </si>
  <si>
    <t xml:space="preserve">Words Max</t>
  </si>
  <si>
    <t xml:space="preserve">Actual Words</t>
  </si>
  <si>
    <t xml:space="preserve">Word Check</t>
  </si>
  <si>
    <t xml:space="preserve">SEO Content</t>
  </si>
  <si>
    <t xml:space="preserve">Internal Links (anchor -&gt; URL)</t>
  </si>
  <si>
    <t xml:space="preserve">Internal Link Count</t>
  </si>
  <si>
    <t xml:space="preserve">External Links (anchor -&gt; URL)</t>
  </si>
  <si>
    <t xml:space="preserve">Schema Suggestion</t>
  </si>
  <si>
    <t xml:space="preserve">Status</t>
  </si>
  <si>
    <t xml:space="preserve">Home</t>
  </si>
  <si>
    <t xml:space="preserve">/</t>
  </si>
  <si>
    <t xml:space="preserve">Appliance Repair Suffolk County NY</t>
  </si>
  <si>
    <t xml:space="preserve">Appliance Repair Suffolk County, NY | [BUSINESS NAME]</t>
  </si>
  <si>
    <t xml:space="preserve">Fast, reliable appliance repair across Suffolk County, NY. Refrigerators, washers, dryers, ovens and more. Upfront quotes. Call [PHONE].</t>
  </si>
  <si>
    <t xml:space="preserve">H1: Appliance Repair in Suffolk County, NY
When your refrigerator warms up, your washer floods the floor or your oven goes cold, you need a repair technician you can trust. [BUSINESS NAME] provides professional appliance repair across Suffolk County, Long Island, for homeowners, renters, landlords and local businesses. We diagnose the fault, explain it in plain language and give you a firm price before starting work.
Call [PHONE] or book online to schedule your appointment. We service refrigerators, freezers, washers, dryers, dishwashers, ovens, stoves, cooktops, microwaves, ice makers, wine coolers, garbage disposals and commercial and luxury appliances.
H2: Our Appliance Repair Services
H3: Refrigerator Repair
A refrigerator that stops cooling puts hundreds of dollars of food at risk within hours, so fast and accurate diagnosis matters. We repair top-freezer, bottom-freezer, side-by-side, French-door and counter-depth models.
H3: Freezer Repair
Whether it is a chest freezer in the garage or an upright in the basement, a failing freezer can ruin weeks of groceries before you notice. We repair upright, chest, built-in and combination freezers.
H3: Washing Machine Repair
When your washing machine stops draining, spinning or filling, laundry day grinds to a halt. We repair top-load, front-load, high-efficiency and stackable washers.
H3: Dryer Repair
A dryer that takes two cycles to dry a load is wasting energy and can be a fire hazard. We repair gas and electric dryers, including stackable and ventless models.
H3: Dishwasher Repair
A dishwasher that leaves dishes dirty, leaks or never drains turns a daily convenience into a daily headache. We repair built-in, drawer and portable dishwashers.
H3: Oven Repair
When your oven won't heat or bakes unevenly, dinner plans fall apart. We repair single and double wall ovens, electric and gas ovens and convection models.
H3: Stove &amp; Range Repair
Your range is the workhorse of the kitchen, and a single failed burner or oven element can disrupt daily meals. We repair gas, electric, dual-fuel and induction stoves and ranges.
H3: Cooktop Repair
Built-in cooktops are the centerpiece of many Suffolk County kitchens, and they need careful, brand-aware service. We repair gas, electric, radiant and induction cooktops.
H3: Microwave Repair
Microwaves are used several times a day, so a unit that sparks, stops heating or won't start disrupts the kitchen quickly. We service countertop, over-the-range and built-in microwaves.
H3: Ice Maker Repair
A refrigerator ice maker or stand-alone ice machine that stops producing ice is a frequent complaint, especially in summer. We repair built-in, under-counter and refrigerator-mounted ice makers.
H3: Wine Cooler Repair
Wine needs steady temperature and humidity, so even small cooling faults can harm a collection. We repair built-in, freestanding, dual-zone and under-counter wine coolers.
H3: Garbage Disposal Repair
A jammed or leaking garbage disposal can back up your kitchen sink and disrupt dishwasher drainage. We repair and replace continuous-feed and batch-feed disposals.
H3: Commercial Appliance Repair
For restaurants, delis, cafes and shops, downtime costs money every hour. We repair commercial refrigeration, ranges, ovens, fryers, ice machines and other kitchen equipment.
H3: Luxury Appliance Repair
Premium appliances demand technicians who understand their design and parts. We repair high-end refrigeration, ranges, wall ovens, cooktops and wine storage.
H2: Why Suffolk County Homeowners Call Us
Appliances are a big part of daily life, so repair should be simple, honest and fast. Here is what you can expect from our team:
- Upfront, written pricing before any repair begins.
- Experienced technicians for all major brands.
- Common parts carried so many repairs are finished in one visit.
- Clear explanations and honest repair-or-replace advice.
- Clean, respectful service in your home.
- Warranty on parts and labor: [INSERT WARRANTY].
H2: How It Works
1. Contact us by phone or online and describe the problem.
2. We schedule the earliest suitable appointment window.
3. Your technician diagnoses the fault and provides a firm quote.
4. We repair and test your appliance, then provide an invoice and warranty details.
H2: Where We Work
We serve homes and businesses throughout Suffolk County. Our main service areas include:
H3: Appliance Repair in Huntington, NY
Huntington blends a walkable historic village with established North Shore neighborhoods, many of them with older kitchens, finished basements and a mix of classic and high-end appliances. We cover Huntington Village, Huntington Station, Greenlawn, Halesite, and Cold Spring Harbor and nearby neighborhoods.
H3: Appliance Repair in Smithtown, NY
Smithtown is largely suburban, with family-sized homes, busy kitchens and households that run several appliances every single day. We cover Smithtown, Kings Park, St. James, Nesconset, and Hauppauge and nearby neighborhoods.
H3: Appliance Repair in Islip, NY
Islip stretches across the South Shore, from waterfront communities near the Great South Bay to inland neighborhoods, with a wide mix of single-family homes, condos and rentals. We cover Islip, East Islip, Islip Terrace, Bay Shore, and Brentwood and nearby neighborhoods.
H3: Appliance Repair in Babylon, NY
The Town of Babylon covers busy South Shore villages and hamlets with a large share of well-kept single-family homes, plus apartments and rental units. We cover Babylon Village, Lindenhurst, Copiague, West Babylon, and North Babylon and nearby neighborhoods.
H3: Appliance Repair in Patchogue, NY
Patchogue is a lively waterfront village with a walkable downtown, surrounded by neighborhoods of single-family homes, condos and apartments. We cover Patchogue Village, East Patchogue, North Patchogue, Blue Point, and Bellport and nearby neighborhoods.
H2: Brands We Repair
Our technicians service most major brands, including Whirlpool, GE, Samsung, LG, Frigidaire, Maytag, KitchenAid, Bosch, Electrolux, Sub-Zero, Wolf, Viking, Thermador and Miele. If your brand is not listed, contact us and we will let you know whether we can help.
H2: Signs It Is Time to Call a Technician
- Your refrigerator or freezer is not holding temperature.
- Your washer is leaking, not draining or making grinding noises.
- Your dryer takes multiple cycles to dry clothes.
- Your dishwasher leaves dishes dirty or standing water.
- Your oven, range or cooktop will not heat or ignite.
- Your ice maker has stopped producing ice.
Addressing small problems early often prevents bigger, more expensive failures.
H2: Residential and Commercial Customers
We repair household appliances for homeowners, tenants and landlords, and we also service commercial refrigeration, ice machines and cooking equipment for restaurants, cafes and shops that cannot afford extended downtime. Property managers can contact us about repairs across multiple units.
H2: Frequently Asked Questions
Q: What areas do you serve?
A: We serve Suffolk County, with dedicated pages for Huntington, Smithtown, Islip, Babylon and Patchogue. Contact us to confirm your address.
Q: How quickly can you schedule a repair?
A: Availability varies. [INSERT SAME-DAY / NEXT-DAY POLICY]. We offer the earliest appointment we have.
Q: Do you give a price before you start?
A: Yes. We diagnose first and give you a written price, and no work begins until you agree.
Q: Is it better to repair or replace an old appliance?
A: It depends on age, repair cost and reliability. We give an honest recommendation, even if that means replacement.
Q: Do you offer a warranty?
A: Yes. [INSERT WARRANTY TERMS].
H2: Book Your Appliance Repair Today
Call [PHONE] or request service online. Whatever the problem, we will help get your appliance running again.
H2: Appliance Care Tips From Our Technicians
Most breakdowns can be delayed with simple habits. Vacuum refrigerator coils twice a year, clean dryer lint screens after every load and have the vent line cleaned annually. Clean dishwasher filters monthly, wipe oven and range spills promptly and leave washer doors ajar after use. If you notice odd noises, smells or leaks, call early. Small repairs cost much less than emergency replacements.
H2: Repair or Replace?
A widely used rule of thumb is that if a repair costs more than about half the price of a comparable new appliance and the unit is past two-thirds of its expected lifespan, replacement deserves serious thought. Newer models can also be more energy-efficient. We always give you the numbers and let you decide, and we never pressure you toward a repair that is not worthwhile.
H2: Safety Comes First
Gas smells, burning odors, sparking, water near electrical components and overheating dryers are all reasons to stop using an appliance immediately. If you smell gas, leave the home and call your gas utility or emergency services. Our technicians are trained to work safely around gas and electrical systems and will explain any safety concerns we find.
H2: Preparing for Your Appointment
Have the brand, model and serial number ready, clear the area around the appliance and write down any error codes. Let us know about parking or building access. These small steps help the technician diagnose and repair faster.
H2: Preventive Maintenance and Installation
Beyond repairs, we can help keep your appliances running longer with preventive maintenance such as coil cleaning, vent cleaning, gasket checks and performance testing. We can also advise on installation of new appliances and haul-away options: [INSERT INSTALLATION / MAINTENANCE SERVICES YOU OFFER]. Regular maintenance catches worn parts before they fail, which reduces energy use and the risk of a breakdown at the worst possible moment, such as the week of a holiday dinner or in the middle of a summer heat wave.
H2: What Our Customers Say
[INSERT REAL CUSTOMER REVIEWS WITH PERMISSION AND ACCURATE ATTRIBUTION. Do not publish invented testimonials.] We encourage honest feedback and respond to every review. See our reviews page for more.
H2: Helpful Guides From Our Technicians
Before you call, our troubleshooting articles can help you decide whether a problem is a quick fix or needs a professional. Learn why a refrigerator is not cooling, why a dryer takes too long to dry and what to check when a washer will not drain. Visit our blog for more.</t>
  </si>
  <si>
    <t xml:space="preserve">Refrigerator Repair -&gt; /refrigerator-repair/
Freezer Repair -&gt; /freezer-repair/
Washing Machine Repair -&gt; /washer-repair/
Dryer Repair -&gt; /dryer-repair/
Dishwasher Repair -&gt; /dishwasher-repair/
Oven Repair -&gt; /oven-repair/
Stove &amp; Range Repair -&gt; /stove-range-repair/
Cooktop Repair -&gt; /cooktop-repair/
Appliance Repair Huntington -&gt; /appliance-repair-huntington-ny/
Appliance Repair Smithtown -&gt; /appliance-repair-smithtown-ny/
Appliance Repair Islip -&gt; /appliance-repair-islip-ny/
Appliance Repair Babylon -&gt; /appliance-repair-babylon-ny/
Appliance Repair Patchogue -&gt; /appliance-repair-patchogue-ny/
All Appliance Repair Services -&gt; /appliance-repair-services/
Brands We Service -&gt; /appliance-brands/
Reviews -&gt; /reviews/
Contact Us -&gt; /contact/</t>
  </si>
  <si>
    <t xml:space="preserve">ENERGY STAR certified products -&gt; https://www.energystar.gov/products</t>
  </si>
  <si>
    <t xml:space="preserve">LocalBusiness / HomeAndConstructionBusiness</t>
  </si>
  <si>
    <t xml:space="preserve">To do</t>
  </si>
  <si>
    <t xml:space="preserve">Services Hub</t>
  </si>
  <si>
    <t xml:space="preserve">All Services</t>
  </si>
  <si>
    <t xml:space="preserve">/appliance-repair-services/</t>
  </si>
  <si>
    <t xml:space="preserve">Appliance Repair Services Suffolk County NY</t>
  </si>
  <si>
    <t xml:space="preserve">Appliance Repair Services Suffolk County, NY</t>
  </si>
  <si>
    <t xml:space="preserve">Browse all appliance repair services in Suffolk County, NY: refrigerators, washers, dryers, ovens, dishwashers and more. Call [PHONE].</t>
  </si>
  <si>
    <t xml:space="preserve">H1: Appliance Repair Services in Suffolk County, NY
[BUSINESS NAME] repairs the appliances Suffolk County households and businesses rely on every day. Whether you need a quick fix for a refrigerator that won't cool or a specialist for a luxury range, our technicians diagnose the problem, explain your options and give you a firm price before any work begins.
Choose an appliance below to learn about common problems, our repair process and the brands we service. Each service page also links to local pages for the towns we cover.
H2: Core Appliance Repair
H3: Refrigerator Repair
A refrigerator that stops cooling puts hundreds of dollars of food at risk within hours, so fast and accurate diagnosis matters. We repair top-freezer, bottom-freezer, side-by-side, French-door and counter-depth models. Common issues include cooling, leaking and noise problems.
H3: Freezer Repair
Whether it is a chest freezer in the garage or an upright in the basement, a failing freezer can ruin weeks of groceries before you notice. We repair upright, chest, built-in and combination freezers. Common issues include warming, frost buildup and compressor problems.
H3: Washing Machine Repair
When your washing machine stops draining, spinning or filling, laundry day grinds to a halt. We repair top-load, front-load, high-efficiency and stackable washers. Common issues include leaks, drainage and spin problems.
H3: Dryer Repair
A dryer that takes two cycles to dry a load is wasting energy and can be a fire hazard. We repair gas and electric dryers, including stackable and ventless models. Common issues include no-heat, long drying times and noise.
H3: Dishwasher Repair
A dishwasher that leaves dishes dirty, leaks or never drains turns a daily convenience into a daily headache. We repair built-in, drawer and portable dishwashers. Common issues include leaks, drain issues and cleaning problems.
H3: Oven Repair
When your oven won't heat or bakes unevenly, dinner plans fall apart. We repair single and double wall ovens, electric and gas ovens and convection models. Common issues include heating, temperature and door problems.
H3: Stove &amp; Range Repair
Your range is the workhorse of the kitchen, and a single failed burner or oven element can disrupt daily meals. We repair gas, electric, dual-fuel and induction stoves and ranges. Common issues include burner, igniter and oven problems.
H3: Cooktop Repair
Built-in cooktops are the centerpiece of many Suffolk County kitchens, and they need careful, brand-aware service. We repair gas, electric, radiant and induction cooktops. Common issues include burner, igniter and induction faults.
H2: Specialty Appliance Repair
H3: Microwave Repair
Microwaves are used several times a day, so a unit that sparks, stops heating or won't start disrupts the kitchen quickly. We service countertop, over-the-range and built-in microwaves. Common issues include heating, display and door faults.
H3: Ice Maker Repair
A refrigerator ice maker or stand-alone ice machine that stops producing ice is a frequent complaint, especially in summer. We repair built-in, under-counter and refrigerator-mounted ice makers. Common issues include no ice, slow production and leaks.
H3: Wine Cooler Repair
Wine needs steady temperature and humidity, so even small cooling faults can harm a collection. We repair built-in, freestanding, dual-zone and under-counter wine coolers. Common issues include temperature, noise and compressor issues.
H3: Garbage Disposal Repair
A jammed or leaking garbage disposal can back up your kitchen sink and disrupt dishwasher drainage. We repair and replace continuous-feed and batch-feed disposals. Common issues include jams, leaks and motor failures.
H3: Commercial Appliance Repair
For restaurants, delis, cafes and shops, downtime costs money every hour. We repair commercial refrigeration, ranges, ovens, fryers, ice machines and other kitchen equipment. Common issues include refrigeration, cooking and ice equipment.
H3: Luxury Appliance Repair
Premium appliances demand technicians who understand their design and parts. We repair high-end refrigeration, ranges, wall ovens, cooktops and wine storage. Common issues include high-end refrigeration and cooking faults.
H2: Local Service Pages
We serve these Suffolk County towns, each with local information and repair pages for every service:
- Appliance repair in Huntington, NY: Huntington Village, Huntington Station, Greenlawn, and Halesite
- Appliance repair in Smithtown, NY: Smithtown, Kings Park, St. James, and Nesconset
- Appliance repair in Islip, NY: Islip, East Islip, Islip Terrace, and Bay Shore
- Appliance repair in Babylon, NY: Babylon Village, Lindenhurst, Copiague, and West Babylon
- Appliance repair in Patchogue, NY: Patchogue Village, East Patchogue, North Patchogue, and Blue Point
H2: How Our Service Works
1. Tell us what is wrong by phone or online.
2. We schedule an appointment window.
3. The technician diagnoses the fault and gives a quote.
4. You approve, we repair and test, and you receive a warranty.
H2: Why Choose Us
We are a local team focused on honest quotes, careful workmanship and clear communication. Our technicians service all major brands, and we explain every repair so you can make the right decision for your home. Call [PHONE] to book.
H2: Not Sure What Service You Need?
Describe the symptoms when you call and we will point you to the right service. Many problems, such as a dryer that won't heat or a washer that won't drain, have a quick fix.</t>
  </si>
  <si>
    <t xml:space="preserve">Refrigerator Repair -&gt; /refrigerator-repair/
Freezer Repair -&gt; /freezer-repair/
Washing Machine Repair -&gt; /washer-repair/
Dryer Repair -&gt; /dryer-repair/
Dishwasher Repair -&gt; /dishwasher-repair/
Oven Repair -&gt; /oven-repair/
Stove &amp; Range Repair -&gt; /stove-range-repair/
Cooktop Repair -&gt; /cooktop-repair/
Microwave Repair -&gt; /microwave-repair/
Ice Maker Repair -&gt; /ice-maker-repair/
Wine Cooler Repair -&gt; /wine-cooler-repair/
Garbage Disposal Repair -&gt; /garbage-disposal-repair/
Commercial Appliance Repair -&gt; /commercial-appliance-repair/
Luxury Appliance Repair -&gt; /luxury-appliance-repair/
Appliance Repair Huntington -&gt; /appliance-repair-huntington-ny/
Appliance Repair Smithtown -&gt; /appliance-repair-smithtown-ny/
Appliance Repair Islip -&gt; /appliance-repair-islip-ny/
Appliance Repair Babylon -&gt; /appliance-repair-babylon-ny/
Appliance Repair Patchogue -&gt; /appliance-repair-patchogue-ny/
Home -&gt; /
Contact Us -&gt; /contact/</t>
  </si>
  <si>
    <t xml:space="preserve">None</t>
  </si>
  <si>
    <t xml:space="preserve">Service (ItemList)</t>
  </si>
  <si>
    <t xml:space="preserve">Trust</t>
  </si>
  <si>
    <t xml:space="preserve">About Us</t>
  </si>
  <si>
    <t xml:space="preserve">/about-us/</t>
  </si>
  <si>
    <t xml:space="preserve">Appliance Repair Company Suffolk County NY</t>
  </si>
  <si>
    <t xml:space="preserve">About Us | Suffolk County Appliance Repair Company</t>
  </si>
  <si>
    <t xml:space="preserve">Meet [BUSINESS NAME], a local Suffolk County appliance repair company with honest pricing and careful service. Call [PHONE].</t>
  </si>
  <si>
    <t xml:space="preserve">H1: About [BUSINESS NAME] | Suffolk County Appliance Repair
[BUSINESS NAME] is a local appliance repair company serving Suffolk County, Long Island. We started with a simple goal: fix appliances properly, price them honestly and treat every customer's home with respect. [INSERT YOUR STORY, YEARS IN BUSINESS AND FOUNDER NAME.]
H2: What We Do
We repair refrigerators, freezers, washers, dryers, dishwashers, ovens, stoves, cooktops, microwaves, ice makers, wine coolers, garbage disposals and commercial and luxury appliances for homes and businesses across Suffolk County.
H2: Our Standards
- Upfront pricing with no work begun until you approve.
- Clear explanations of the fault and your options.
- Honest advice on repair versus replacement.
- Clean, respectful work in your home.
- Warranty on parts and labor: [INSERT WARRANTY].
H2: Qualifications and Trust
[INSERT LICENSES, INSURANCE, MANUFACTURER TRAINING, CERTIFICATIONS AND ANY AFFILIATIONS. Only list credentials you actually hold.]
H2: Where We Work
We serve Huntington, Smithtown, Islip, Babylon, Patchogue and neighboring communities across Suffolk County. See our service areas page for the full list.
H2: Meet the Team
[INSERT TECHNICIAN NAMES, PHOTOS AND EXPERIENCE.]
H2: Get in Touch
Call [PHONE] or request service online. We look forward to helping you.
H2: How We Diagnose Problems
A good repair starts with a correct diagnosis. We ask about symptoms, check error codes, test components with the right meters and tools, and confirm the root cause before suggesting parts. This prevents unnecessary replacements and repeat visits.
H2: Our Promise
We treat your home as we would our own: shoe covers when needed, tidy work areas and a clean finish. We explain what we found in plain language and let you decide. If a repair is not worthwhile, we tell you.
H2: Serving Our Community
We are proud to serve Suffolk County households and businesses, from North Shore homes to South Shore condos. Many of our customers are repeat clients and neighbors who recommend us to friends and family.
H2: Parts and Quality
We use OEM or high-quality equivalent parts and explain the options before installing them. Every repair is tested before we leave, and we stand behind the work with our warranty: [INSERT WARRANTY].
H2: Training and Continuing Education
[INSERT ANY MANUFACTURER OR INDUSTRY TRAINING YOUR TECHNICIANS HAVE COMPLETED.] Appliances change every year, with more electronics, sensors and smart features, so ongoing training matters. We invest in diagnostic tools and keep up with common failure patterns across the brands we repair.
H2: Residential and Commercial Experience
Our work spans family kitchens, rental properties, condos and local businesses. That range means we understand both the needs of a homeowner who wants a quick, fair repair and a restaurant owner who needs equipment back up fast. [ADD EXAMPLES OF REAL PROJECTS OR CUSTOMER TYPES.]</t>
  </si>
  <si>
    <t xml:space="preserve">All Services -&gt; /appliance-repair-services/
Service Areas -&gt; /service-areas/
Reviews -&gt; /reviews/
Contact Us -&gt; /contact/</t>
  </si>
  <si>
    <t xml:space="preserve">AboutPage</t>
  </si>
  <si>
    <t xml:space="preserve">Contact Us</t>
  </si>
  <si>
    <t xml:space="preserve">/contact/</t>
  </si>
  <si>
    <t xml:space="preserve">Contact Appliance Repair Suffolk County NY</t>
  </si>
  <si>
    <t xml:space="preserve">Contact Appliance Repair | Suffolk County, NY</t>
  </si>
  <si>
    <t xml:space="preserve">Book an appliance repair in Suffolk County, NY. Call [PHONE] or request service online. Huntington, Smithtown, Islip, Babylon, Patchogue.</t>
  </si>
  <si>
    <t xml:space="preserve">H1: Contact [BUSINESS NAME] | Appliance Repair in Suffolk County
Need an appliance repair technician in Suffolk County? Call [PHONE] or fill out the form below and we will get back to you as soon as possible.
H2: Phone and Email
Phone: [PHONE]
Email: [INSERT EMAIL]
Service hours: [INSERT HOURS]
H2: Request a Repair
Tell us the appliance type, brand and model, a brief description of the problem and your town. Include any error codes shown on the display.
H2: Service Area
We serve Suffolk County including Huntington, Smithtown, Islip, Babylon and Patchogue. Not sure if we cover your address? Ask and we will confirm.
H2: Business Address
[INSERT ADDRESS IF CUSTOMERS MAY VISIT; OTHERWISE STATE THAT WE ARE A SERVICE-AREA BUSINESS.]
H2: What to Have Ready
- Appliance brand and model number.
- A short description of the symptoms.
- Your preferred appointment times.
H2: How Booking Works
Submit the form or call us. We confirm your address, ask a few questions about the appliance and offer the earliest appointment window we can. A technician arrives, diagnoses the fault and gives a quote. You approve before any work begins.
H2: Emergencies and After-Hours Requests
[INSERT YOUR EMERGENCY OR AFTER-HOURS POLICY.] If you have a gas smell, leave the home and call your gas utility or emergency services first. If a water leak is flooding your home, shut off the supply valve.
H2: Commercial Customers
Restaurants, cafes and shops can request priority scheduling for refrigeration, ice machines and cooking equipment. Mention that you are a business when you contact us.
H2: Tips for a Faster Repair
Send a photo of the model label and of any error code on the display. Describe sounds, smells or leaks, and tell us when the problem started. The more detail we have before the visit, the more likely the technician arrives with the right parts.
H2: Directions and Parking
[INSERT PARKING OR ACCESS NOTES FOR TECHNICIANS, OR NOTE THAT WE TRAVEL TO YOU.] If you live in an apartment or condo building, tell us about building rules, elevator access or required insurance paperwork when booking.</t>
  </si>
  <si>
    <t xml:space="preserve">All Services -&gt; /appliance-repair-services/
Service Areas -&gt; /service-areas/
FAQs -&gt; /frequently-asked-questions/</t>
  </si>
  <si>
    <t xml:space="preserve">ContactPage / LocalBusiness</t>
  </si>
  <si>
    <t xml:space="preserve">FAQs</t>
  </si>
  <si>
    <t xml:space="preserve">/frequently-asked-questions/</t>
  </si>
  <si>
    <t xml:space="preserve">Appliance Repair FAQs Suffolk County NY</t>
  </si>
  <si>
    <t xml:space="preserve">Appliance Repair FAQs | Suffolk County, NY</t>
  </si>
  <si>
    <t xml:space="preserve">Answers to common appliance repair questions in Suffolk County, NY: pricing, scheduling, brands, warranty and repair vs replace.</t>
  </si>
  <si>
    <t xml:space="preserve">H1: Appliance Repair FAQs | Suffolk County, NY
Answers to the questions Suffolk County customers ask most often about our appliance repair services.
Q: What areas of Suffolk County do you serve?
A: We serve Huntington, Smithtown, Islip, Babylon, Patchogue and nearby communities. Contact us to confirm your address.
Q: How do I book a repair?
A: Call us or use the online form. Tell us the appliance, the symptoms and your town.
Q: Do you charge a diagnostic fee?
A: [INSERT YOUR DIAGNOSTIC FEE POLICY].
Q: Will you give me a price before starting?
A: Yes. You receive a written quote and nothing begins until you agree.
Q: How fast can you come?
A: [INSERT SAME-DAY / NEXT-DAY POLICY].
Q: Which brands do you repair?
A: Most major brands including Whirlpool, GE, Samsung, LG, Frigidaire, Maytag, KitchenAid, Bosch, Sub-Zero, Wolf and Viking.
Q: Do you repair commercial appliances?
A: Yes, including refrigeration, ice machines and cooking equipment.
Q: Should I repair or replace my appliance?
A: Generally, repair when the unit is relatively new and the fault is a common part. For older units with major failures, replacement may be better. We give honest advice.
Q: Do you warranty your repairs?
A: Yes. [INSERT WARRANTY TERMS].
Q: Do you supply and install parts?
A: Yes. We use OEM or equivalent parts and explain options.
Q: What payment methods do you accept?
A: [INSERT PAYMENT METHODS].
Q: Do you remove old appliances?
A: [INSERT YOUR POLICY].
Still have questions? Call [PHONE].
H2: More Questions
Q: Can I get an estimate over the phone?
A: We can describe common causes and general ranges where possible, but the firm price comes after a technician diagnoses the appliance.
Q: Do you work on built-in and integrated appliances?
A: Yes. We service built-in, panel-ready and integrated models, including premium brands.
Q: What should I do before the technician arrives?
A: Clear the area, note error codes and keep the model number handy. If there is a leak, shut off power and water where safe.
Q: What if the part is not in stock?
A: We will explain the lead time and options, and schedule a return visit once the part arrives.
H2: Repair Costs
Q: Why do repair prices vary?
A: Price depends on the fault, the part, the brand and the labor involved. This is why we diagnose first and give you a written quote.
Q: Do you charge for estimates on replacements?
A: [INSERT YOUR POLICY].
H2: About Our Technicians
Q: Are your technicians licensed and insured?
A: [INSERT LICENSING AND INSURANCE DETAILS].
Q: Will someone be home during the repair?
A: An adult should be present, or arrangements should be made in advance for access.
Q: Do you provide receipts and invoices?
A: Yes, every completed job includes an itemized invoice with warranty details.
H2: Safety Questions
Q: What should I do if I smell gas?
A: Leave the home immediately, avoid switches and flames, and call your gas utility or emergency services from outside.
Q: Is it safe to use an appliance that is leaking?
A: No. Turn off power and water where safe and call us.
Q: Can a clogged dryer vent be dangerous?
A: Yes. Lint buildup is a known fire hazard, so have vents cleaned regularly.</t>
  </si>
  <si>
    <t xml:space="preserve">All Services -&gt; /appliance-repair-services/
Brands We Service -&gt; /appliance-brands/
Contact Us -&gt; /contact/</t>
  </si>
  <si>
    <t xml:space="preserve">FAQPage</t>
  </si>
  <si>
    <t xml:space="preserve">Refrigerator Repair</t>
  </si>
  <si>
    <t xml:space="preserve">/refrigerator-repair/</t>
  </si>
  <si>
    <t xml:space="preserve">Refrigerator Repair Suffolk County NY</t>
  </si>
  <si>
    <t xml:space="preserve">Refrigerator Repair Suffolk County, NY | [BUSINESS NAME]</t>
  </si>
  <si>
    <t xml:space="preserve">Need refrigerator repair in Suffolk County, NY? Local technicians fix cooling, leaking and noise problems with upfront quotes. Call [PHONE] to book.</t>
  </si>
  <si>
    <t xml:space="preserve">H1: Refrigerator Repair in Suffolk County, NY
A refrigerator that stops cooling puts hundreds of dollars of food at risk within hours, so fast and accurate diagnosis matters. We repair top-freezer, bottom-freezer, side-by-side, French-door and counter-depth models. [BUSINESS NAME] serves homeowners and businesses across Suffolk County, including Huntington, Smithtown, Islip, Babylon and Patchogue, with clear upfront pricing and no work started until you approve the quote.
If you are searching for refrigerator repair near you, our technicians diagnose the real cause instead of guessing, which saves you from paying for parts you don't need. Call [PHONE] or request a visit online to get started.
H2: Signs Your Refrigerator Needs Repair
Appliances rarely fail without warning. These are the most common refrigerator problems we see across Suffolk County and what usually causes them:
H3: Not cooling or too warm
Often caused by a failed evaporator fan motor, a dirty condenser coil, a faulty defrost system or a sealed-system issue.
H3: Freezer works but the fridge section is warm
Usually points to a blocked air damper, a failed evaporator fan or a frozen evaporator coil restricting airflow.
H3: Water leaking onto the floor
Typically a clogged defrost drain, a cracked water line or a failed inlet valve on models with a water dispenser.
H3: Loud buzzing, clicking or rattling
Fan motors wearing out, or a compressor start relay that clicks repeatedly without starting the compressor.
H3: Frost or ice buildup
Suggests a failed defrost heater, defrost thermostat or control board interrupting the defrost cycle.
H3: Running constantly
Dirty condenser coils, a worn door gasket or a failing temperature sensor can keep the compressor running non-stop.
H2: Our Refrigerator Repair Process
Our technician checks temperatures, airflow, coils, fans, gaskets and the defrost system, explains the cause in plain language and gives a clear price before starting. Common replacement parts are often carried on the service vehicle, so many repairs can be finished in a single visit.
1. Book your visit by phone or online and tell us the brand, model and symptoms.
2. A technician arrives within the appointment window and inspects the refrigerator.
3. You receive a clear explanation of the fault and a firm price before any work begins.
4. We complete the repair, test the appliance and show you the result.
5. You receive a written invoice and our warranty details: [INSERT PARTS AND LABOR WARRANTY].
H2: Parts We Replace Most Often
For refrigerator repairs, the parts we replace most often include evaporator and condenser fan motors, defrost heaters, thermostats, start relays, door gaskets and water inlet valves. We use quality OEM or equivalent parts, and we explain which options are available when more than one exists.
H2: Brands We Service
We repair refrigerator models from Whirlpool, GE, Samsung, LG, Frigidaire, KitchenAid, Maytag, Bosch, Sub-Zero, Viking, Thermador, and Electrolux, along with many others. Not sure whether your model is covered? Tell us the brand and model number from the label and we will confirm before booking.
H2: Should You Repair or Replace Your Refrigerator?
If the unit is 12 to 15 years old and needs a sealed-system repair, replacement is often more economical. For newer units, or for parts such as fans, sensors and defrost components, repair usually makes more sense.
Factors that help you decide include the age of the unit, the cost of the repair compared with a new appliance, how often it has broken down and how efficient it is compared with newer models. We give you an honest recommendation, even when that means telling you not to repair it.
H2: What Affects the Cost of Refrigerator Repair
The final price depends on the diagnosis, the part needed, the brand and how hard the appliance is to access. Rather than quoting a vague range over the phone, we diagnose first, give you a firm written price and wait for your approval. Diagnostic fee: [INSERT DIAGNOSTIC FEE, CREDITED TOWARD REPAIR IF APPLICABLE].
H2: Maintenance Tips to Prevent Future Breakdowns
- Vacuum the condenser coils every six to twelve months.
- Keep the refrigerator near 37 to 40°F and the freezer at 0°F.
- Test the door gasket by closing a dollar bill in the door; it should resist being pulled out.
- Leave a few inches of clearance behind and above the unit for airflow.
Safety note: Move perishables into a cooler with ice and keep the doors closed while you wait for service.
H2: Why Suffolk County Customers Choose [BUSINESS NAME]
We are a local team that knows Long Island homes, from older North Shore houses to South Shore condos and apartments. Our technicians are [INSERT LICENSING / INSURANCE DETAILS], and we aim to show up on time, keep your home clean and explain every step in plain English. Customers value honest quotes, tidy work and repairs that last.
H2: Refrigerator Repair Near You
We provide service in these areas, each with its own local page:
- Refrigerator Repair in Huntington, NY
- Refrigerator Repair in Smithtown, NY
- Refrigerator Repair in Islip, NY
- Refrigerator Repair in Babylon, NY
- Refrigerator Repair in Patchogue, NY
If your neighborhood is not listed, contact us. We may still be able to help, depending on your location.
H2: Frequently Asked Questions
Q: How long is food safe if my refrigerator stops cooling?
A: Food safety guidance says a closed refrigerator keeps food cold for about four hours during a power outage. If your unit is simply not cooling, call promptly and move perishables to a cooler.
Q: Is it worth repairing a refrigerator?
A: In most cases repair is worthwhile when the unit is under about ten years old and the fault is a fan, sensor, relay or defrost part. We will tell you honestly if replacement is the better value.
Q: Why is my refrigerator leaking water?
A: The usual causes are a frozen or clogged defrost drain, a loose water line or a faulty inlet valve. Unplugging the unit and mopping up the water protects your floors until we arrive.
Q: How much does refrigerator repair cost in Suffolk County?
A: The cost depends on the fault, the part and the brand. We diagnose the problem first and give a written quote so you know the price before work begins.
Q: How quickly can you schedule refrigerator repair?
A: Availability varies by day and location. [INSERT YOUR SAME-DAY / NEXT-DAY POLICY HERE]. Call us and we will offer the earliest appointment window.
Q: Do you guarantee your repairs?
A: Yes. We back our work with a [INSERT WARRANTY LENGTH] parts and labor warranty, so you are covered if the same problem returns.
H2: Schedule Your Refrigerator Repair Today
Don't live with a broken refrigerator. Call [PHONE] or use our online booking form to schedule a technician anywhere in Suffolk County.</t>
  </si>
  <si>
    <t xml:space="preserve">All Services -&gt; /appliance-repair-services/
Freezer Repair -&gt; /freezer-repair/
Ice Maker Repair -&gt; /ice-maker-repair/
Wine Cooler Repair -&gt; /wine-cooler-repair/
Refrigerator Repair in Huntington, NY -&gt; /refrigerator-repair/huntington-ny/
Refrigerator Repair in Smithtown, NY -&gt; /refrigerator-repair/smithtown-ny/
Refrigerator Repair in Islip, NY -&gt; /refrigerator-repair/islip-ny/
Refrigerator Repair in Babylon, NY -&gt; /refrigerator-repair/babylon-ny/
Refrigerator Repair in Patchogue, NY -&gt; /refrigerator-repair/patchogue-ny/
Brands We Service -&gt; /appliance-brands/
Service Areas -&gt; /service-areas/
Contact Us -&gt; /contact/
Reviews -&gt; /reviews/</t>
  </si>
  <si>
    <t xml:space="preserve">FoodSafety.gov refrigerator and freezer guidance -&gt; https://www.foodsafety.gov/
ENERGY STAR certified products -&gt; https://www.energystar.gov/products</t>
  </si>
  <si>
    <t xml:space="preserve">Service</t>
  </si>
  <si>
    <t xml:space="preserve">Freezer Repair</t>
  </si>
  <si>
    <t xml:space="preserve">/freezer-repair/</t>
  </si>
  <si>
    <t xml:space="preserve">Freezer Repair Suffolk County NY</t>
  </si>
  <si>
    <t xml:space="preserve">Freezer Repair Suffolk County, NY | [BUSINESS NAME]</t>
  </si>
  <si>
    <t xml:space="preserve">Need freezer repair in Suffolk County, NY? Local technicians fix warming, frost buildup and compressor problems with upfront quotes. Call [PHONE] to book.</t>
  </si>
  <si>
    <t xml:space="preserve">H1: Freezer Repair in Suffolk County, NY
Whether it is a chest freezer in the garage or an upright in the basement, a failing freezer can ruin weeks of groceries before you notice. We repair upright, chest, built-in and combination freezers. [BUSINESS NAME] serves homeowners and businesses across Suffolk County, including Huntington, Smithtown, Islip, Babylon and Patchogue, with clear upfront pricing and no work started until you approve the quote.
If you are searching for freezer repair near you, our technicians diagnose the real cause instead of guessing, which saves you from paying for parts you don't need. Call [PHONE] or request a visit online to get started.
H2: Signs Your Freezer Needs Repair
Appliances rarely fail without warning. These are the most common freezer problems we see across Suffolk County and what usually causes them:
H3: Not freezing or temperature creeping up
A failing compressor, start relay, evaporator fan or thermostat can stop the freezer from holding 0°F.
H3: Heavy frost or ice buildup
A worn door gasket, a door left ajar or a failed defrost heater lets moist air in and coats the coils.
H3: Constant running
Dirty condenser coils, low refrigerant or a faulty temperature control force the compressor to run non-stop.
H3: Noisy operation
Buzzing, grinding or clicking often means a fan motor, compressor mount or start relay is wearing out.
H3: Water pooling under the unit
Clogged defrost drains, or melting frost from a failed defrost cycle, can leak onto the floor.
H3: Freezer burn on food
Temperature swings from a weak thermostat or poor door seal degrade stored food quickly.
H2: Our Freezer Repair Process
We check temperature, airflow, gaskets, fans and the defrost system, confirm whether the sealed system is involved and quote the repair before any work begins. You approve the price first, every time.
1. Book your visit by phone or online and tell us the brand, model and symptoms.
2. A technician arrives within the appointment window and inspects the freezer.
3. You receive a clear explanation of the fault and a firm price before any work begins.
4. We complete the repair, test the appliance and show you the result.
5. You receive a written invoice and our warranty details: [INSERT PARTS AND LABOR WARRANTY].
H2: Parts We Replace Most Often
For freezer repairs, the parts we replace most often include thermostats, start relays, evaporator fan motors, defrost heaters and door gaskets. We use quality OEM or equivalent parts, and we explain which options are available when more than one exists.
H2: Brands We Service
We repair freezer models from Frigidaire, GE, Whirlpool, Kenmore, Electrolux, Haier, Danby, Amana, Maytag, and Samsung, along with many others. Not sure whether your model is covered? Tell us the brand and model number from the label and we will confirm before booking.
H2: Should You Repair or Replace Your Freezer?
Freezers commonly last 10 to 20 years, so an older unit needing a compressor or sealed-system repair is often better replaced, while fans, relays, thermostats and gaskets are worthwhile repairs.
Factors that help you decide include the age of the unit, the cost of the repair compared with a new appliance, how often it has broken down and how efficient it is compared with newer models. We give you an honest recommendation, even when that means telling you not to repair it.
H2: What Affects the Cost of Freezer Repair
The final price depends on the diagnosis, the part needed, the brand and how hard the appliance is to access. Rather than quoting a vague range over the phone, we diagnose first, give you a firm written price and wait for your approval. Diagnostic fee: [INSERT DIAGNOSTIC FEE, CREDITED TOWARD REPAIR IF APPLICABLE].
H2: Maintenance Tips to Prevent Future Breakdowns
- Defrost manual-defrost chest freezers when frost reaches about a quarter inch.
- Keep the freezer roughly three-quarters full so it holds temperature more efficiently.
- Clean condenser coils twice a year.
- Avoid overloading door shelves, which can break gasket seals.
Safety note: Keep the lid or door shut and group food together to slow thawing while you wait for service.
H2: Why Suffolk County Customers Choose [BUSINESS NAME]
We are a local team that knows Long Island homes, from older North Shore houses to South Shore condos and apartments. Our technicians are [INSERT LICENSING / INSURANCE DETAILS], and we aim to show up on time, keep your home clean and explain every step in plain English. Customers value honest quotes, tidy work and repairs that last.
H2: Freezer Repair Near You
We provide service in these areas, each with its own local page:
- Freezer Repair in Huntington, NY
- Freezer Repair in Smithtown, NY
- Freezer Repair in Islip, NY
- Freezer Repair in Babylon, NY
- Freezer Repair in Patchogue, NY
If your neighborhood is not listed, contact us. We may still be able to help, depending on your location.
H2: Frequently Asked Questions
Q: How long does food stay frozen if my freezer stops working?
A: Food safety guidance says a full freezer that stays closed holds temperature for roughly 48 hours and a half-full one for about 24 hours, so call as soon as you notice a problem.
Q: Why is my freezer covered in frost?
A: Usually a door seal leak or a defrost system fault. Replacing a worn gasket or defrost component normally clears the problem.
Q: Can you repair both chest and upright freezers?
A: Yes. We service chest, upright, built-in and under-counter freezers from all major brands.
Q: How much does freezer repair cost in Suffolk County?
A: The cost depends on the fault, the part and the brand. We diagnose the problem first and give a written quote so you know the price before work begins.
Q: How quickly can you schedule freezer repair?
A: Availability varies by day and location. [INSERT YOUR SAME-DAY / NEXT-DAY POLICY HERE]. Call us and we will offer the earliest appointment window.
Q: Do you guarantee your repairs?
A: Yes. We back our work with a [INSERT WARRANTY LENGTH] parts and labor warranty, so you are covered if the same problem returns.
H2: Schedule Your Freezer Repair Today
Don't live with a broken freezer. Call [PHONE] or use our online booking form to schedule a technician anywhere in Suffolk County.</t>
  </si>
  <si>
    <t xml:space="preserve">All Services -&gt; /appliance-repair-services/
Refrigerator Repair -&gt; /refrigerator-repair/
Ice Maker Repair -&gt; /ice-maker-repair/
Commercial Appliance Repair -&gt; /commercial-appliance-repair/
Freezer Repair in Huntington, NY -&gt; /freezer-repair/huntington-ny/
Freezer Repair in Smithtown, NY -&gt; /freezer-repair/smithtown-ny/
Freezer Repair in Islip, NY -&gt; /freezer-repair/islip-ny/
Freezer Repair in Babylon, NY -&gt; /freezer-repair/babylon-ny/
Freezer Repair in Patchogue, NY -&gt; /freezer-repair/patchogue-ny/
Brands We Service -&gt; /appliance-brands/
Service Areas -&gt; /service-areas/
Contact Us -&gt; /contact/
Reviews -&gt; /reviews/</t>
  </si>
  <si>
    <t xml:space="preserve">Washing Machine Repair</t>
  </si>
  <si>
    <t xml:space="preserve">/washer-repair/</t>
  </si>
  <si>
    <t xml:space="preserve">Washing Machine Repair Suffolk County NY</t>
  </si>
  <si>
    <t xml:space="preserve">Washing Machine Repair Suffolk County, NY | [BUSINESS NAME]</t>
  </si>
  <si>
    <t xml:space="preserve">Need washing machine repair in Suffolk County, NY? Local technicians fix leaks, drainage and spin problems with upfront quotes. Call [PHONE] to book.</t>
  </si>
  <si>
    <t xml:space="preserve">H1: Washing Machine Repair in Suffolk County, NY
When your washing machine stops draining, spinning or filling, laundry day grinds to a halt. We repair top-load, front-load, high-efficiency and stackable washers. [BUSINESS NAME] serves homeowners and businesses across Suffolk County, including Huntington, Smithtown, Islip, Babylon and Patchogue, with clear upfront pricing and no work started until you approve the quote.
If you are searching for washing machine repair near you, our technicians diagnose the real cause instead of guessing, which saves you from paying for parts you don't need. Call [PHONE] or request a visit online to get started.
H2: Signs Your Washer Needs Repair
Appliances rarely fail without warning. These are the most common washer problems we see across Suffolk County and what usually causes them:
H3: Won't drain or leaves water in the drum
A clogged drain pump filter, failed drain pump or kinked drain hose is the usual culprit.
H3: Won't spin or spins weakly
Worn drive belts, a faulty lid switch or door lock, a failing motor coupling or an out-of-balance load.
H3: Leaking water
Worn door boot seals, loose hoses, a cracked pump housing or a failing water inlet valve.
H3: Loud banging or grinding
Worn tub bearings, damaged shock absorbers or suspension rods, or a loose drum.
H3: Won't start or fill
A bad door latch, lid switch, water inlet valve or control board can stop the cycle before it begins.
H3: Musty odor
Mold and residue buildup in the door seal and detergent drawer, often made worse by low-temperature washing.
H2: Our Washer Repair Process
We run the machine through its cycles, inspect the pump, hoses, seals, suspension and controls, then explain the fault and give a firm price. If a repair is not worthwhile, we will say so.
1. Book your visit by phone or online and tell us the brand, model and symptoms.
2. A technician arrives within the appointment window and inspects the washer.
3. You receive a clear explanation of the fault and a firm price before any work begins.
4. We complete the repair, test the appliance and show you the result.
5. You receive a written invoice and our warranty details: [INSERT PARTS AND LABOR WARRANTY].
H2: Parts We Replace Most Often
For washer repairs, the parts we replace most often include drain pumps, door boot seals, water inlet valves, lid and door switches, drive belts, shock absorbers and bearings. We use quality OEM or equivalent parts, and we explain which options are available when more than one exists.
H2: Brands We Service
We repair washer models from Whirlpool, Maytag, GE, Samsung, LG, Electrolux, Bosch, Speed Queen, Frigidaire, Kenmore, and Amana, along with many others. Not sure whether your model is covered? Tell us the brand and model number from the label and we will confirm before booking.
H2: Should You Repair or Replace Your Washer?
Washers typically last 10 to 14 years. Bearing and tub failures on older machines often cost more than they are worth, while pumps, switches, belts and valves are usually sound repairs.
Factors that help you decide include the age of the unit, the cost of the repair compared with a new appliance, how often it has broken down and how efficient it is compared with newer models. We give you an honest recommendation, even when that means telling you not to repair it.
H2: What Affects the Cost of Washing Machine Repair
The final price depends on the diagnosis, the part needed, the brand and how hard the appliance is to access. Rather than quoting a vague range over the phone, we diagnose first, give you a firm written price and wait for your approval. Diagnostic fee: [INSERT DIAGNOSTIC FEE, CREDITED TOWARD REPAIR IF APPLICABLE].
H2: Maintenance Tips to Prevent Future Breakdowns
- Leave the door ajar after each wash so the drum can dry.
- Clean the drain pump filter every few months on front-loaders.
- Use the recommended amount of HE detergent only.
- Replace rubber fill hoses every five years to prevent bursts.
Safety note: Turn off the water supply valves and unplug the washer if you see leaking or smell burning.
H2: Why Suffolk County Customers Choose [BUSINESS NAME]
We are a local team that knows Long Island homes, from older North Shore houses to South Shore condos and apartments. Our technicians are [INSERT LICENSING / INSURANCE DETAILS], and we aim to show up on time, keep your home clean and explain every step in plain English. Customers value honest quotes, tidy work and repairs that last.
H2: Washing Machine Repair Near You
We provide service in these areas, each with its own local page:
- Washing Machine Repair in Huntington, NY
- Washing Machine Repair in Smithtown, NY
- Washing Machine Repair in Islip, NY
- Washing Machine Repair in Babylon, NY
- Washing Machine Repair in Patchogue, NY
If your neighborhood is not listed, contact us. We may still be able to help, depending on your location.
H2: Frequently Asked Questions
Q: Why is my washing machine not draining?
A: A blocked pump filter or hose, or a failed drain pump, is the most common cause. A technician can clear or replace these quickly.
Q: Is it worth fixing a washing machine?
A: Usually yes if it is under eight years old and the fault is a pump, valve, switch or belt. We compare repair cost against replacement so you can decide.
Q: Can you repair front-load and top-load washers?
A: Yes. We service front-load, top-load, HE and stackable washers from major brands.
Q: How much does washing machine repair cost in Suffolk County?
A: The cost depends on the fault, the part and the brand. We diagnose the problem first and give a written quote so you know the price before work begins.
Q: How quickly can you schedule washing machine repair?
A: Availability varies by day and location. [INSERT YOUR SAME-DAY / NEXT-DAY POLICY HERE]. Call us and we will offer the earliest appointment window.
Q: Do you guarantee your repairs?
A: Yes. We back our work with a [INSERT WARRANTY LENGTH] parts and labor warranty, so you are covered if the same problem returns.
H2: Schedule Your Washing Machine Repair Today
Don't live with a broken washer. Call [PHONE] or use our online booking form to schedule a technician anywhere in Suffolk County.</t>
  </si>
  <si>
    <t xml:space="preserve">All Services -&gt; /appliance-repair-services/
Dryer Repair -&gt; /dryer-repair/
Dishwasher Repair -&gt; /dishwasher-repair/
Refrigerator Repair -&gt; /refrigerator-repair/
Washing Machine Repair in Huntington, NY -&gt; /washer-repair/huntington-ny/
Washing Machine Repair in Smithtown, NY -&gt; /washer-repair/smithtown-ny/
Washing Machine Repair in Islip, NY -&gt; /washer-repair/islip-ny/
Washing Machine Repair in Babylon, NY -&gt; /washer-repair/babylon-ny/
Washing Machine Repair in Patchogue, NY -&gt; /washer-repair/patchogue-ny/
Brands We Service -&gt; /appliance-brands/
Service Areas -&gt; /service-areas/
Contact Us -&gt; /contact/
Reviews -&gt; /reviews/</t>
  </si>
  <si>
    <t xml:space="preserve">U.S. Consumer Product Safety Commission -&gt; https://www.cpsc.gov/
ENERGY STAR certified products -&gt; https://www.energystar.gov/products</t>
  </si>
  <si>
    <t xml:space="preserve">Dryer Repair</t>
  </si>
  <si>
    <t xml:space="preserve">/dryer-repair/</t>
  </si>
  <si>
    <t xml:space="preserve">Dryer Repair Suffolk County NY</t>
  </si>
  <si>
    <t xml:space="preserve">Dryer Repair Suffolk County, NY | [BUSINESS NAME]</t>
  </si>
  <si>
    <t xml:space="preserve">Need dryer repair in Suffolk County, NY? Local technicians fix no-heat, long drying times and noise with upfront quotes. Call [PHONE] to book.</t>
  </si>
  <si>
    <t xml:space="preserve">H1: Dryer Repair in Suffolk County, NY
A dryer that takes two cycles to dry a load is wasting energy and can be a fire hazard. We repair gas and electric dryers, including stackable and ventless models. [BUSINESS NAME] serves homeowners and businesses across Suffolk County, including Huntington, Smithtown, Islip, Babylon and Patchogue, with clear upfront pricing and no work started until you approve the quote.
If you are searching for dryer repair near you, our technicians diagnose the real cause instead of guessing, which saves you from paying for parts you don't need. Call [PHONE] or request a visit online to get started.
H2: Signs Your Dryer Needs Repair
Appliances rarely fail without warning. These are the most common dryer problems we see across Suffolk County and what usually causes them:
H3: No heat
A failed heating element, thermal fuse, gas igniter or thermostat is the usual cause.
H3: Takes too long to dry
Clogged lint screens and vent lines are common, along with weak heating components or a failing thermostat.
H3: Won't start
A blown thermal fuse, faulty start switch, door switch or motor can leave the dryer dead.
H3: Drum won't turn
A broken drive belt, worn idler pulley or failing motor stops the drum from rotating.
H3: Loud thumping, squealing or scraping
Worn drum rollers, glides, belts or bearings.
H3: Burning smell or very hot exterior
Restricted airflow or lint buildup, which should be addressed immediately.
H2: Our Dryer Repair Process
We test heat, airflow and electrical components, check the vent run for restrictions and replace failed parts. Because blocked vents cause many failures, we point out any airflow problems we find.
1. Book your visit by phone or online and tell us the brand, model and symptoms.
2. A technician arrives within the appointment window and inspects the dryer.
3. You receive a clear explanation of the fault and a firm price before any work begins.
4. We complete the repair, test the appliance and show you the result.
5. You receive a written invoice and our warranty details: [INSERT PARTS AND LABOR WARRANTY].
H2: Parts We Replace Most Often
For dryer repairs, the parts we replace most often include heating elements, thermal fuses, gas igniters, belts, drum rollers, idler pulleys and door switches. We use quality OEM or equivalent parts, and we explain which options are available when more than one exists.
H2: Brands We Service
We repair dryer models from Whirlpool, Maytag, GE, Samsung, LG, Electrolux, Frigidaire, Kenmore, Speed Queen, Amana, and Bosch, along with many others. Not sure whether your model is covered? Tell us the brand and model number from the label and we will confirm before booking.
H2: Should You Repair or Replace Your Dryer?
Dryers often last 10 to 13 years. Simple, inexpensive parts such as fuses, belts and elements make repair a good value, while major motor or control failures on very old units may not.
Factors that help you decide include the age of the unit, the cost of the repair compared with a new appliance, how often it has broken down and how efficient it is compared with newer models. We give you an honest recommendation, even when that means telling you not to repair it.
H2: What Affects the Cost of Dryer Repair
The final price depends on the diagnosis, the part needed, the brand and how hard the appliance is to access. Rather than quoting a vague range over the phone, we diagnose first, give you a firm written price and wait for your approval. Diagnostic fee: [INSERT DIAGNOSTIC FEE, CREDITED TOWARD REPAIR IF APPLICABLE].
H2: Maintenance Tips to Prevent Future Breakdowns
- Clean the lint screen after every load.
- Have the vent line cleaned once a year, or more often with long vent runs.
- Do not run the dryer when no one is home.
- Never overload the drum, which strains the motor and belt.
Safety note: Stop using the dryer immediately if you notice a burning smell, and clear the lint screen.
H2: Why Suffolk County Customers Choose [BUSINESS NAME]
We are a local team that knows Long Island homes, from older North Shore houses to South Shore condos and apartments. Our technicians are [INSERT LICENSING / INSURANCE DETAILS], and we aim to show up on time, keep your home clean and explain every step in plain English. Customers value honest quotes, tidy work and repairs that last.
H2: Dryer Repair Near You
We provide service in these areas, each with its own local page:
- Dryer Repair in Huntington, NY
- Dryer Repair in Smithtown, NY
- Dryer Repair in Islip, NY
- Dryer Repair in Babylon, NY
- Dryer Repair in Patchogue, NY
If your neighborhood is not listed, contact us. We may still be able to help, depending on your location.
H2: Frequently Asked Questions
Q: Why is my dryer running but not heating?
A: In electric dryers it is often the heating element or thermal fuse; in gas dryers it is typically the igniter or gas valve coils.
Q: Why does my dryer take so long to dry clothes?
A: Restricted airflow from lint in the vent line is the most common reason, followed by a weak heating element or thermostat.
Q: Can a clogged dryer vent cause a fire?
A: Yes. Lint buildup is a leading cause of dryer fires, which is why regular vent cleaning is strongly recommended.
Q: How much does dryer repair cost in Suffolk County?
A: The cost depends on the fault, the part and the brand. We diagnose the problem first and give a written quote so you know the price before work begins.
Q: How quickly can you schedule dryer repair?
A: Availability varies by day and location. [INSERT YOUR SAME-DAY / NEXT-DAY POLICY HERE]. Call us and we will offer the earliest appointment window.
Q: Do you guarantee your repairs?
A: Yes. We back our work with a [INSERT WARRANTY LENGTH] parts and labor warranty, so you are covered if the same problem returns.
H2: Schedule Your Dryer Repair Today
Don't live with a broken dryer. Call [PHONE] or use our online booking form to schedule a technician anywhere in Suffolk County.</t>
  </si>
  <si>
    <t xml:space="preserve">All Services -&gt; /appliance-repair-services/
Washing Machine Repair -&gt; /washer-repair/
Dishwasher Repair -&gt; /dishwasher-repair/
Stove &amp; Range Repair -&gt; /stove-range-repair/
Dryer Repair in Huntington, NY -&gt; /dryer-repair/huntington-ny/
Dryer Repair in Smithtown, NY -&gt; /dryer-repair/smithtown-ny/
Dryer Repair in Islip, NY -&gt; /dryer-repair/islip-ny/
Dryer Repair in Babylon, NY -&gt; /dryer-repair/babylon-ny/
Dryer Repair in Patchogue, NY -&gt; /dryer-repair/patchogue-ny/
Brands We Service -&gt; /appliance-brands/
Service Areas -&gt; /service-areas/
Contact Us -&gt; /contact/
Reviews -&gt; /reviews/</t>
  </si>
  <si>
    <t xml:space="preserve">Dishwasher Repair</t>
  </si>
  <si>
    <t xml:space="preserve">/dishwasher-repair/</t>
  </si>
  <si>
    <t xml:space="preserve">Dishwasher Repair Suffolk County NY</t>
  </si>
  <si>
    <t xml:space="preserve">Dishwasher Repair Suffolk County, NY | [BUSINESS NAME]</t>
  </si>
  <si>
    <t xml:space="preserve">Need dishwasher repair in Suffolk County, NY? Local technicians fix leaks, drain issues and cleaning problems with upfront quotes. Call [PHONE] to book.</t>
  </si>
  <si>
    <t xml:space="preserve">H1: Dishwasher Repair in Suffolk County, NY
A dishwasher that leaves dishes dirty, leaks or never drains turns a daily convenience into a daily headache. We repair built-in, drawer and portable dishwashers. [BUSINESS NAME] serves homeowners and businesses across Suffolk County, including Huntington, Smithtown, Islip, Babylon and Patchogue, with clear upfront pricing and no work started until you approve the quote.
If you are searching for dishwasher repair near you, our technicians diagnose the real cause instead of guessing, which saves you from paying for parts you don't need. Call [PHONE] or request a visit online to get started.
H2: Signs Your Dishwasher Needs Repair
Appliances rarely fail without warning. These are the most common dishwasher problems we see across Suffolk County and what usually causes them:
H3: Not draining
A clogged filter, kinked drain hose, blocked disposal connection or failed drain pump.
H3: Dishes not coming out clean
Clogged spray arms, a dirty filter, a weak circulation pump or a failed inlet valve.
H3: Leaking from the door or base
A worn door gasket, loose hose clamp, cracked sump or failed pump seal.
H3: Won't start or latch
A broken door latch, faulty control board or failed switch.
H3: Won't dry dishes
A failed heating element, vent fan issue or empty rinse-aid dispenser.
H3: Strange noises
Worn pump bearings, a loose spray arm or debris caught in the pump.
H2: Our Dishwasher Repair Process
We inspect the filter, spray arms, pump, hoses, door seal and controls, run a test cycle to reproduce the fault and quote the repair before starting.
1. Book your visit by phone or online and tell us the brand, model and symptoms.
2. A technician arrives within the appointment window and inspects the dishwasher.
3. You receive a clear explanation of the fault and a firm price before any work begins.
4. We complete the repair, test the appliance and show you the result.
5. You receive a written invoice and our warranty details: [INSERT PARTS AND LABOR WARRANTY].
H2: Parts We Replace Most Often
For dishwasher repairs, the parts we replace most often include drain pumps, door latches, gaskets, spray arms, inlet valves, heating elements and control boards. We use quality OEM or equivalent parts, and we explain which options are available when more than one exists.
H2: Brands We Service
We repair dishwasher models from Bosch, Whirlpool, KitchenAid, GE, Samsung, LG, Maytag, Frigidaire, Miele, Thermador, and Electrolux, along with many others. Not sure whether your model is covered? Tell us the brand and model number from the label and we will confirm before booking.
H2: Should You Repair or Replace Your Dishwasher?
Dishwashers last about 9 to 12 years. Pump, valve, latch and filter repairs are cost-effective, while a failed tub or major leak on an older unit may call for replacement.
Factors that help you decide include the age of the unit, the cost of the repair compared with a new appliance, how often it has broken down and how efficient it is compared with newer models. We give you an honest recommendation, even when that means telling you not to repair it.
H2: What Affects the Cost of Dishwasher Repair
The final price depends on the diagnosis, the part needed, the brand and how hard the appliance is to access. Rather than quoting a vague range over the phone, we diagnose first, give you a firm written price and wait for your approval. Diagnostic fee: [INSERT DIAGNOSTIC FEE, CREDITED TOWARD REPAIR IF APPLICABLE].
H2: Maintenance Tips to Prevent Future Breakdowns
- Scrape plates rather than pre-rinsing, but don't leave large debris.
- Clean the filter monthly.
- Run hot water at the sink before starting a cycle.
- Use rinse aid to improve drying and prevent spotting.
Safety note: Turn off the water supply under the sink and cut power at the breaker if you see leaking.
H2: Why Suffolk County Customers Choose [BUSINESS NAME]
We are a local team that knows Long Island homes, from older North Shore houses to South Shore condos and apartments. Our technicians are [INSERT LICENSING / INSURANCE DETAILS], and we aim to show up on time, keep your home clean and explain every step in plain English. Customers value honest quotes, tidy work and repairs that last.
H2: Dishwasher Repair Near You
We provide service in these areas, each with its own local page:
- Dishwasher Repair in Huntington, NY
- Dishwasher Repair in Smithtown, NY
- Dishwasher Repair in Islip, NY
- Dishwasher Repair in Babylon, NY
- Dishwasher Repair in Patchogue, NY
If your neighborhood is not listed, contact us. We may still be able to help, depending on your location.
H2: Frequently Asked Questions
Q: Why is there standing water in my dishwasher?
A: Most often a clogged filter or drain hose, a blocked garbage disposal connection or a failed drain pump.
Q: Why are my dishes still dirty after a full cycle?
A: Blocked spray arms or a dirty filter usually restrict cleaning. Low water pressure or a failing pump can also be the cause.
Q: Do you repair integrated and drawer dishwashers?
A: Yes. We service built-in, panel-ready, drawer and portable dishwashers.
Q: How much does dishwasher repair cost in Suffolk County?
A: The cost depends on the fault, the part and the brand. We diagnose the problem first and give a written quote so you know the price before work begins.
Q: How quickly can you schedule dishwasher repair?
A: Availability varies by day and location. [INSERT YOUR SAME-DAY / NEXT-DAY POLICY HERE]. Call us and we will offer the earliest appointment window.
Q: Do you guarantee your repairs?
A: Yes. We back our work with a [INSERT WARRANTY LENGTH] parts and labor warranty, so you are covered if the same problem returns.
H2: Schedule Your Dishwasher Repair Today
Don't live with a broken dishwasher. Call [PHONE] or use our online booking form to schedule a technician anywhere in Suffolk County.</t>
  </si>
  <si>
    <t xml:space="preserve">All Services -&gt; /appliance-repair-services/
Garbage Disposal Repair -&gt; /garbage-disposal-repair/
Washing Machine Repair -&gt; /washer-repair/
Oven Repair -&gt; /oven-repair/
Dishwasher Repair in Huntington, NY -&gt; /dishwasher-repair/huntington-ny/
Dishwasher Repair in Smithtown, NY -&gt; /dishwasher-repair/smithtown-ny/
Dishwasher Repair in Islip, NY -&gt; /dishwasher-repair/islip-ny/
Dishwasher Repair in Babylon, NY -&gt; /dishwasher-repair/babylon-ny/
Dishwasher Repair in Patchogue, NY -&gt; /dishwasher-repair/patchogue-ny/
Brands We Service -&gt; /appliance-brands/
Service Areas -&gt; /service-areas/
Contact Us -&gt; /contact/
Reviews -&gt; /reviews/</t>
  </si>
  <si>
    <t xml:space="preserve">EPA WaterSense water-efficiency program -&gt; https://www.epa.gov/watersense
ENERGY STAR certified products -&gt; https://www.energystar.gov/products</t>
  </si>
  <si>
    <t xml:space="preserve">Oven Repair</t>
  </si>
  <si>
    <t xml:space="preserve">/oven-repair/</t>
  </si>
  <si>
    <t xml:space="preserve">Oven Repair Suffolk County NY</t>
  </si>
  <si>
    <t xml:space="preserve">Oven Repair Suffolk County, NY | [BUSINESS NAME]</t>
  </si>
  <si>
    <t xml:space="preserve">Need oven repair in Suffolk County, NY? Local technicians fix heating, temperature and door problems with upfront quotes. Call [PHONE] to book.</t>
  </si>
  <si>
    <t xml:space="preserve">H1: Oven Repair in Suffolk County, NY
When your oven won't heat or bakes unevenly, dinner plans fall apart. We repair single and double wall ovens, electric and gas ovens and convection models. [BUSINESS NAME] serves homeowners and businesses across Suffolk County, including Huntington, Smithtown, Islip, Babylon and Patchogue, with clear upfront pricing and no work started until you approve the quote.
If you are searching for oven repair near you, our technicians diagnose the real cause instead of guessing, which saves you from paying for parts you don't need. Call [PHONE] or request a visit online to get started.
H2: Signs Your Oven Needs Repair
Appliances rarely fail without warning. These are the most common oven problems we see across Suffolk County and what usually causes them:
H3: Oven not heating
A failed bake or broil element, igniter, thermal fuse or control board.
H3: Uneven baking or wrong temperature
A faulty temperature sensor, thermostat or worn door gasket causing heat loss.
H3: Oven won't turn on
A control board, relay or wiring fault, or a tripped breaker.
H3: Door won't close or latch
A worn hinge, spring or latch assembly.
H3: Self-clean cycle failing
A faulty door lock motor, thermal fuse or control issue.
H3: Gas smell or slow ignition
A weak igniter or gas valve problem, which should be treated as a safety issue.
H2: Our Oven Repair Process
We test heating components and sensors, verify temperature accuracy and inspect the door, controls and gas supply where applicable. You get a written estimate before we begin.
1. Book your visit by phone or online and tell us the brand, model and symptoms.
2. A technician arrives within the appointment window and inspects the oven.
3. You receive a clear explanation of the fault and a firm price before any work begins.
4. We complete the repair, test the appliance and show you the result.
5. You receive a written invoice and our warranty details: [INSERT PARTS AND LABOR WARRANTY].
H2: Parts We Replace Most Often
For oven repairs, the parts we replace most often include bake and broil elements, igniters, temperature sensors, door gaskets, hinges and control boards. We use quality OEM or equivalent parts, and we explain which options are available when more than one exists.
H2: Brands We Service
We repair oven models from GE, Whirlpool, Frigidaire, Samsung, LG, KitchenAid, Bosch, Thermador, Wolf, Viking, Jenn-Air, and Miele, along with many others. Not sure whether your model is covered? Tell us the brand and model number from the label and we will confirm before booking.
H2: Should You Repair or Replace Your Oven?
Ovens commonly last 13 to 15 years. Elements, igniters, sensors and gaskets are inexpensive repairs, while a failed control on an older unit can approach replacement cost.
Factors that help you decide include the age of the unit, the cost of the repair compared with a new appliance, how often it has broken down and how efficient it is compared with newer models. We give you an honest recommendation, even when that means telling you not to repair it.
H2: What Affects the Cost of Oven Repair
The final price depends on the diagnosis, the part needed, the brand and how hard the appliance is to access. Rather than quoting a vague range over the phone, we diagnose first, give you a firm written price and wait for your approval. Diagnostic fee: [INSERT DIAGNOSTIC FEE, CREDITED TOWARD REPAIR IF APPLICABLE].
H2: Maintenance Tips to Prevent Future Breakdowns
- Do not line the oven floor with foil, which can damage elements.
- Wipe spills promptly to protect sensors and elements.
- Check the door seal regularly for tears.
- Use the self-clean cycle sparingly.
Safety note: If you smell gas, leave the home, avoid switches and call your gas utility and emergency services first.
H2: Why Suffolk County Customers Choose [BUSINESS NAME]
We are a local team that knows Long Island homes, from older North Shore houses to South Shore condos and apartments. Our technicians are [INSERT LICENSING / INSURANCE DETAILS], and we aim to show up on time, keep your home clean and explain every step in plain English. Customers value honest quotes, tidy work and repairs that last.
H2: Oven Repair Near You
We provide service in these areas, each with its own local page:
- Oven Repair in Huntington, NY
- Oven Repair in Smithtown, NY
- Oven Repair in Islip, NY
- Oven Repair in Babylon, NY
- Oven Repair in Patchogue, NY
If your neighborhood is not listed, contact us. We may still be able to help, depending on your location.
H2: Frequently Asked Questions
Q: Why isn't my electric oven heating?
A: A burned-out bake element or failed thermal fuse is common. A technician can test each part quickly.
Q: Why is my oven temperature inaccurate?
A: A faulty sensor or a worn control often causes this, and calibration can sometimes correct it.
Q: Do you repair gas ovens?
A: Yes. We repair gas ovens, igniters and valves with strict attention to safety.
Q: How much does oven repair cost in Suffolk County?
A: The cost depends on the fault, the part and the brand. We diagnose the problem first and give a written quote so you know the price before work begins.
Q: How quickly can you schedule oven repair?
A: Availability varies by day and location. [INSERT YOUR SAME-DAY / NEXT-DAY POLICY HERE]. Call us and we will offer the earliest appointment window.
Q: Do you guarantee your repairs?
A: Yes. We back our work with a [INSERT WARRANTY LENGTH] parts and labor warranty, so you are covered if the same problem returns.
H2: Schedule Your Oven Repair Today
Don't live with a broken oven. Call [PHONE] or use our online booking form to schedule a technician anywhere in Suffolk County.</t>
  </si>
  <si>
    <t xml:space="preserve">All Services -&gt; /appliance-repair-services/
Stove &amp; Range Repair -&gt; /stove-range-repair/
Cooktop Repair -&gt; /cooktop-repair/
Microwave Repair -&gt; /microwave-repair/
Oven Repair in Huntington, NY -&gt; /oven-repair/huntington-ny/
Oven Repair in Smithtown, NY -&gt; /oven-repair/smithtown-ny/
Oven Repair in Islip, NY -&gt; /oven-repair/islip-ny/
Oven Repair in Babylon, NY -&gt; /oven-repair/babylon-ny/
Oven Repair in Patchogue, NY -&gt; /oven-repair/patchogue-ny/
Brands We Service -&gt; /appliance-brands/
Service Areas -&gt; /service-areas/
Contact Us -&gt; /contact/
Reviews -&gt; /reviews/</t>
  </si>
  <si>
    <t xml:space="preserve">NFPA cooking safety guidance -&gt; https://www.nfpa.org/education-and-research/home-fire-safety/cooking
ENERGY STAR certified products -&gt; https://www.energystar.gov/products</t>
  </si>
  <si>
    <t xml:space="preserve">Stove &amp; Range Repair</t>
  </si>
  <si>
    <t xml:space="preserve">/stove-range-repair/</t>
  </si>
  <si>
    <t xml:space="preserve">Stove &amp; Range Repair Suffolk County NY</t>
  </si>
  <si>
    <t xml:space="preserve">Stove &amp; Range Repair Suffolk County, NY | [BUSINESS NAME]</t>
  </si>
  <si>
    <t xml:space="preserve">Need stove &amp; range repair in Suffolk County, NY? Local technicians fix burner, igniter and oven problems with upfront quotes. Call [PHONE] to book.</t>
  </si>
  <si>
    <t xml:space="preserve">H1: Stove &amp; Range Repair in Suffolk County, NY
Your range is the workhorse of the kitchen, and a single failed burner or oven element can disrupt daily meals. We repair gas, electric, dual-fuel and induction stoves and ranges. [BUSINESS NAME] serves homeowners and businesses across Suffolk County, including Huntington, Smithtown, Islip, Babylon and Patchogue, with clear upfront pricing and no work started until you approve the quote.
If you are searching for stove &amp; range repair near you, our technicians diagnose the real cause instead of guessing, which saves you from paying for parts you don't need. Call [PHONE] or request a visit online to get started.
H2: Signs Your Stove &amp; Range Needs Repair
Appliances rarely fail without warning. These are the most common stove &amp; range problems we see across Suffolk County and what usually causes them:
H3: Burner won't light or clicks constantly
A dirty or wet burner, a failed igniter or a faulty spark module.
H3: Electric burner not heating
A worn burner element, loose receptacle or failed infinite switch.
H3: Uneven flame or yellow flame
Clogged burner ports or an incorrect air/gas mixture.
H3: Oven side not working
A failed bake element, igniter or control board.
H3: Knobs or controls unresponsive
A bad switch, control board or electronic touchpad.
H3: Sparking or burning smell
Damaged wiring or a failing element, which needs prompt attention.
H2: Our Stove &amp; Range Repair Process
We inspect the burners, igniters, switches and oven components together, test gas and electrical supply and explain which repairs are essential and which can wait.
1. Book your visit by phone or online and tell us the brand, model and symptoms.
2. A technician arrives within the appointment window and inspects the stove &amp; range.
3. You receive a clear explanation of the fault and a firm price before any work begins.
4. We complete the repair, test the appliance and show you the result.
5. You receive a written invoice and our warranty details: [INSERT PARTS AND LABOR WARRANTY].
H2: Parts We Replace Most Often
For stove &amp; range repairs, the parts we replace most often include surface elements, igniters, spark modules, infinite switches, burner caps and control boards. We use quality OEM or equivalent parts, and we explain which options are available when more than one exists.
H2: Brands We Service
We repair stove &amp; range models from GE, Whirlpool, Frigidaire, Samsung, LG, KitchenAid, Bosch, Viking, Wolf, Thermador, Maytag, and Jenn-Air, along with many others. Not sure whether your model is covered? Tell us the brand and model number from the label and we will confirm before booking.
H2: Should You Repair or Replace Your Stove &amp; Range?
Ranges generally last 13 to 15 years. Most burner, switch and igniter repairs are inexpensive, but a failed main control on an old range may justify replacement.
Factors that help you decide include the age of the unit, the cost of the repair compared with a new appliance, how often it has broken down and how efficient it is compared with newer models. We give you an honest recommendation, even when that means telling you not to repair it.
H2: What Affects the Cost of Stove &amp; Range Repair
The final price depends on the diagnosis, the part needed, the brand and how hard the appliance is to access. Rather than quoting a vague range over the phone, we diagnose first, give you a firm written price and wait for your approval. Diagnostic fee: [INSERT DIAGNOSTIC FEE, CREDITED TOWARD REPAIR IF APPLICABLE].
H2: Maintenance Tips to Prevent Future Breakdowns
- Keep burner ports clean with a soft brush.
- Make sure burner caps are seated correctly.
- Clean spills on electric elements only when cool.
- Replace damaged drip pans and receptacles early.
Safety note: If you smell gas, leave the house and call your gas utility or emergency services before anything else.
H2: Why Suffolk County Customers Choose [BUSINESS NAME]
We are a local team that knows Long Island homes, from older North Shore houses to South Shore condos and apartments. Our technicians are [INSERT LICENSING / INSURANCE DETAILS], and we aim to show up on time, keep your home clean and explain every step in plain English. Customers value honest quotes, tidy work and repairs that last.
H2: Stove &amp; Range Repair Near You
We provide service in these areas, each with its own local page:
- Stove &amp; Range Repair in Huntington, NY
- Stove &amp; Range Repair in Smithtown, NY
- Stove &amp; Range Repair in Islip, NY
- Stove &amp; Range Repair in Babylon, NY
- Stove &amp; Range Repair in Patchogue, NY
If your neighborhood is not listed, contact us. We may still be able to help, depending on your location.
H2: Frequently Asked Questions
Q: Why does my gas burner click but not light?
A: Moisture, food debris or a worn igniter or spark module is typically the cause.
Q: Why is only one electric burner not working?
A: The element or its receptacle has usually failed, which is a straightforward repair.
Q: Do you repair slide-in, freestanding and dual-fuel ranges?
A: Yes, we service all common range types and major brands.
Q: How much does stove &amp; range repair cost in Suffolk County?
A: The cost depends on the fault, the part and the brand. We diagnose the problem first and give a written quote so you know the price before work begins.
Q: How quickly can you schedule stove &amp; range repair?
A: Availability varies by day and location. [INSERT YOUR SAME-DAY / NEXT-DAY POLICY HERE]. Call us and we will offer the earliest appointment window.
Q: Do you guarantee your repairs?
A: Yes. We back our work with a [INSERT WARRANTY LENGTH] parts and labor warranty, so you are covered if the same problem returns.
H2: Schedule Your Stove &amp; Range Repair Today
Don't live with a broken stove &amp; range. Call [PHONE] or use our online booking form to schedule a technician anywhere in Suffolk County.</t>
  </si>
  <si>
    <t xml:space="preserve">All Services -&gt; /appliance-repair-services/
Oven Repair -&gt; /oven-repair/
Cooktop Repair -&gt; /cooktop-repair/
Microwave Repair -&gt; /microwave-repair/
Stove &amp; Range Repair in Huntington, NY -&gt; /stove-range-repair/huntington-ny/
Stove &amp; Range Repair in Smithtown, NY -&gt; /stove-range-repair/smithtown-ny/
Stove &amp; Range Repair in Islip, NY -&gt; /stove-range-repair/islip-ny/
Stove &amp; Range Repair in Babylon, NY -&gt; /stove-range-repair/babylon-ny/
Stove &amp; Range Repair in Patchogue, NY -&gt; /stove-range-repair/patchogue-ny/
Brands We Service -&gt; /appliance-brands/
Service Areas -&gt; /service-areas/
Contact Us -&gt; /contact/
Reviews -&gt; /reviews/</t>
  </si>
  <si>
    <t xml:space="preserve">Cooktop Repair</t>
  </si>
  <si>
    <t xml:space="preserve">/cooktop-repair/</t>
  </si>
  <si>
    <t xml:space="preserve">Cooktop Repair Suffolk County NY</t>
  </si>
  <si>
    <t xml:space="preserve">Cooktop Repair Suffolk County, NY | [BUSINESS NAME]</t>
  </si>
  <si>
    <t xml:space="preserve">Need cooktop repair in Suffolk County, NY? Local technicians fix burner, igniter and induction faults with upfront quotes. Call [PHONE] to book.</t>
  </si>
  <si>
    <t xml:space="preserve">H1: Cooktop Repair in Suffolk County, NY
Built-in cooktops are the centerpiece of many Suffolk County kitchens, and they need careful, brand-aware service. We repair gas, electric, radiant and induction cooktops. [BUSINESS NAME] serves homeowners and businesses across Suffolk County, including Huntington, Smithtown, Islip, Babylon and Patchogue, with clear upfront pricing and no work started until you approve the quote.
If you are searching for cooktop repair near you, our technicians diagnose the real cause instead of guessing, which saves you from paying for parts you don't need. Call [PHONE] or request a visit online to get started.
H2: Signs Your Cooktop Needs Repair
Appliances rarely fail without warning. These are the most common cooktop problems we see across Suffolk County and what usually causes them:
H3: Burner won't ignite
Dirty ports, a failed igniter or spark module.
H3: Induction zone not heating
A cracked glass top, failed power board or cooling fan problem.
H3: Radiant element not glowing
A failed element, limiter or infinite switch.
H3: Touch controls unresponsive
A control board fault or moisture beneath the glass.
H3: Cracked or damaged glass
Needs safe replacement to protect electronics.
H3: Constant clicking
A wet burner or short in the igniter circuit.
H2: Our Cooktop Repair Process
We remove the cooktop components needed to test each burner, switch and board, confirm the fault and quote the repair before ordering parts.
1. Book your visit by phone or online and tell us the brand, model and symptoms.
2. A technician arrives within the appointment window and inspects the cooktop.
3. You receive a clear explanation of the fault and a firm price before any work begins.
4. We complete the repair, test the appliance and show you the result.
5. You receive a written invoice and our warranty details: [INSERT PARTS AND LABOR WARRANTY].
H2: Parts We Replace Most Often
For cooktop repairs, the parts we replace most often include igniters, spark modules, radiant elements, induction power boards, glass tops and control switches. We use quality OEM or equivalent parts, and we explain which options are available when more than one exists.
H2: Brands We Service
We repair cooktop models from Wolf, Thermador, Bosch, Miele, GE Profile, Samsung, KitchenAid, Viking, Frigidaire, and Whirlpool, along with many others. Not sure whether your model is covered? Tell us the brand and model number from the label and we will confirm before booking.
H2: Should You Repair or Replace Your Cooktop?
Cooktops often last 15 years or more. Replacement is usually considered only if the glass is cracked on an older unit or electronic boards are discontinued.
Factors that help you decide include the age of the unit, the cost of the repair compared with a new appliance, how often it has broken down and how efficient it is compared with newer models. We give you an honest recommendation, even when that means telling you not to repair it.
H2: What Affects the Cost of Cooktop Repair
The final price depends on the diagnosis, the part needed, the brand and how hard the appliance is to access. Rather than quoting a vague range over the phone, we diagnose first, give you a firm written price and wait for your approval. Diagnostic fee: [INSERT DIAGNOSTIC FEE, CREDITED TOWARD REPAIR IF APPLICABLE].
H2: Maintenance Tips to Prevent Future Breakdowns
- Use flat-bottomed cookware on glass and induction tops.
- Wipe spills quickly to avoid permanent staining or damage.
- Avoid sliding heavy pans across glass.
- Keep gas burner heads aligned and clean.
Safety note: Turn off the gas valve and avoid using a cooktop with cracked glass until it is repaired.
H2: Why Suffolk County Customers Choose [BUSINESS NAME]
We are a local team that knows Long Island homes, from older North Shore houses to South Shore condos and apartments. Our technicians are [INSERT LICENSING / INSURANCE DETAILS], and we aim to show up on time, keep your home clean and explain every step in plain English. Customers value honest quotes, tidy work and repairs that last.
H2: Cooktop Repair Near You
We provide service in these areas, each with its own local page:
- Cooktop Repair in Huntington, NY
- Cooktop Repair in Smithtown, NY
- Cooktop Repair in Islip, NY
- Cooktop Repair in Babylon, NY
- Cooktop Repair in Patchogue, NY
If your neighborhood is not listed, contact us. We may still be able to help, depending on your location.
H2: Frequently Asked Questions
Q: Why is my gas cooktop clicking nonstop?
A: Moisture or food debris around the igniter is the most common cause.
Q: Can an induction cooktop be repaired?
A: Yes. Many faults, including power boards and fans, can be diagnosed and repaired.
Q: Do you replace cracked glass tops?
A: Yes, we can source and fit replacement glass for many models.
Q: How much does cooktop repair cost in Suffolk County?
A: The cost depends on the fault, the part and the brand. We diagnose the problem first and give a written quote so you know the price before work begins.
Q: How quickly can you schedule cooktop repair?
A: Availability varies by day and location. [INSERT YOUR SAME-DAY / NEXT-DAY POLICY HERE]. Call us and we will offer the earliest appointment window.
Q: Do you guarantee your repairs?
A: Yes. We back our work with a [INSERT WARRANTY LENGTH] parts and labor warranty, so you are covered if the same problem returns.
H2: Schedule Your Cooktop Repair Today
Don't live with a broken cooktop. Call [PHONE] or use our online booking form to schedule a technician anywhere in Suffolk County.</t>
  </si>
  <si>
    <t xml:space="preserve">All Services -&gt; /appliance-repair-services/
Stove &amp; Range Repair -&gt; /stove-range-repair/
Oven Repair -&gt; /oven-repair/
Microwave Repair -&gt; /microwave-repair/
Cooktop Repair in Huntington, NY -&gt; /cooktop-repair/huntington-ny/
Cooktop Repair in Smithtown, NY -&gt; /cooktop-repair/smithtown-ny/
Cooktop Repair in Islip, NY -&gt; /cooktop-repair/islip-ny/
Cooktop Repair in Babylon, NY -&gt; /cooktop-repair/babylon-ny/
Cooktop Repair in Patchogue, NY -&gt; /cooktop-repair/patchogue-ny/
Brands We Service -&gt; /appliance-brands/
Service Areas -&gt; /service-areas/
Contact Us -&gt; /contact/
Reviews -&gt; /reviews/</t>
  </si>
  <si>
    <t xml:space="preserve">Microwave Repair</t>
  </si>
  <si>
    <t xml:space="preserve">/microwave-repair/</t>
  </si>
  <si>
    <t xml:space="preserve">Microwave Repair Suffolk County NY</t>
  </si>
  <si>
    <t xml:space="preserve">Microwave Repair Suffolk County, NY | [BUSINESS NAME]</t>
  </si>
  <si>
    <t xml:space="preserve">Need microwave repair in Suffolk County, NY? Local technicians fix heating, display and door faults with upfront quotes. Call [PHONE] to book.</t>
  </si>
  <si>
    <t xml:space="preserve">H1: Microwave Repair in Suffolk County, NY
Microwaves are used several times a day, so a unit that sparks, stops heating or won't start disrupts the kitchen quickly. We service countertop, over-the-range and built-in microwaves. [BUSINESS NAME] serves homeowners and businesses across Suffolk County, including Huntington, Smithtown, Islip, Babylon and Patchogue, with clear upfront pricing and no work started until you approve the quote.
If you are searching for microwave repair near you, our technicians diagnose the real cause instead of guessing, which saves you from paying for parts you don't need. Call [PHONE] or request a visit online to get started.
H2: Signs Your Microwave Needs Repair
Appliances rarely fail without warning. These are the most common microwave problems we see across Suffolk County and what usually causes them:
H3: Runs but doesn't heat
A failed magnetron, high-voltage diode or capacitor, which must be handled by a professional.
H3: Sparking inside
A damaged waveguide cover, worn interior paint or foreign object.
H3: Won't start
A faulty door switch, fuse or control board.
H3: Turntable not spinning
A failed motor, worn coupler or roller ring.
H3: Display or keypad not responding
A control panel or board fault.
H3: Noisy operation
A worn fan motor or loose component.
H2: Our Microwave Repair Process
Because microwaves store high-voltage energy even when unplugged, only trained technicians discharge and test the components. We confirm the fault and quote before repair.
1. Book your visit by phone or online and tell us the brand, model and symptoms.
2. A technician arrives within the appointment window and inspects the microwave.
3. You receive a clear explanation of the fault and a firm price before any work begins.
4. We complete the repair, test the appliance and show you the result.
5. You receive a written invoice and our warranty details: [INSERT PARTS AND LABOR WARRANTY].
H2: Parts We Replace Most Often
For microwave repairs, the parts we replace most often include door switches, fuses, turntable motors, magnetrons, diodes and control boards. We use quality OEM or equivalent parts, and we explain which options are available when more than one exists.
H2: Brands We Service
We repair microwave models from GE, Samsung, LG, Whirlpool, Sharp, Panasonic, Frigidaire, KitchenAid, Bosch, Sharp, and Maytag, along with many others. Not sure whether your model is covered? Tell us the brand and model number from the label and we will confirm before booking.
H2: Should You Repair or Replace Your Microwave?
Because countertop microwaves are inexpensive, replacement is often best for small units. Built-in and over-the-range models are generally worth repairing.
Factors that help you decide include the age of the unit, the cost of the repair compared with a new appliance, how often it has broken down and how efficient it is compared with newer models. We give you an honest recommendation, even when that means telling you not to repair it.
H2: What Affects the Cost of Microwave Repair
The final price depends on the diagnosis, the part needed, the brand and how hard the appliance is to access. Rather than quoting a vague range over the phone, we diagnose first, give you a firm written price and wait for your approval. Diagnostic fee: [INSERT DIAGNOSTIC FEE, CREDITED TOWARD REPAIR IF APPLICABLE].
H2: Maintenance Tips to Prevent Future Breakdowns
- Never run the microwave empty.
- Keep the interior clean and the waveguide cover intact.
- Don't use metal or foil-trimmed dishes.
- Check that the door closes firmly.
Safety note: Do not open a microwave housing yourself; capacitors can hold a dangerous charge.
H2: Why Suffolk County Customers Choose [BUSINESS NAME]
We are a local team that knows Long Island homes, from older North Shore houses to South Shore condos and apartments. Our technicians are [INSERT LICENSING / INSURANCE DETAILS], and we aim to show up on time, keep your home clean and explain every step in plain English. Customers value honest quotes, tidy work and repairs that last.
H2: Microwave Repair Near You
We provide service in these areas, each with its own local page:
- Microwave Repair in Huntington, NY
- Microwave Repair in Smithtown, NY
- Microwave Repair in Islip, NY
- Microwave Repair in Babylon, NY
- Microwave Repair in Patchogue, NY
If your neighborhood is not listed, contact us. We may still be able to help, depending on your location.
H2: Frequently Asked Questions
Q: Why does my microwave run but not heat?
A: A failed magnetron, diode or capacitor is typically responsible.
Q: Is it worth repairing a microwave?
A: Often for over-the-range and built-in models; for cheap countertop units replacement may be better.
Q: Is a sparking microwave dangerous?
A: Stop using it until inspected, as sparking can damage the unit and cause a fire risk.
Q: How much does microwave repair cost in Suffolk County?
A: The cost depends on the fault, the part and the brand. We diagnose the problem first and give a written quote so you know the price before work begins.
Q: How quickly can you schedule microwave repair?
A: Availability varies by day and location. [INSERT YOUR SAME-DAY / NEXT-DAY POLICY HERE]. Call us and we will offer the earliest appointment window.
Q: Do you guarantee your repairs?
A: Yes. We back our work with a [INSERT WARRANTY LENGTH] parts and labor warranty, so you are covered if the same problem returns.
H2: Schedule Your Microwave Repair Today
Don't live with a broken microwave. Call [PHONE] or use our online booking form to schedule a technician anywhere in Suffolk County.</t>
  </si>
  <si>
    <t xml:space="preserve">All Services -&gt; /appliance-repair-services/
Oven Repair -&gt; /oven-repair/
Cooktop Repair -&gt; /cooktop-repair/
Stove &amp; Range Repair -&gt; /stove-range-repair/
Microwave Repair in Huntington, NY -&gt; /microwave-repair/huntington-ny/
Microwave Repair in Smithtown, NY -&gt; /microwave-repair/smithtown-ny/
Microwave Repair in Islip, NY -&gt; /microwave-repair/islip-ny/
Microwave Repair in Babylon, NY -&gt; /microwave-repair/babylon-ny/
Microwave Repair in Patchogue, NY -&gt; /microwave-repair/patchogue-ny/
Brands We Service -&gt; /appliance-brands/
Service Areas -&gt; /service-areas/
Contact Us -&gt; /contact/
Reviews -&gt; /reviews/</t>
  </si>
  <si>
    <t xml:space="preserve">Ice Maker Repair</t>
  </si>
  <si>
    <t xml:space="preserve">/ice-maker-repair/</t>
  </si>
  <si>
    <t xml:space="preserve">Ice Maker Repair Suffolk County NY</t>
  </si>
  <si>
    <t xml:space="preserve">Ice Maker Repair Suffolk County, NY | [BUSINESS NAME]</t>
  </si>
  <si>
    <t xml:space="preserve">Need ice maker repair in Suffolk County, NY? Local technicians fix no ice, slow production and leaks with upfront quotes. Call [PHONE] to book.</t>
  </si>
  <si>
    <t xml:space="preserve">H1: Ice Maker Repair in Suffolk County, NY
A refrigerator ice maker or stand-alone ice machine that stops producing ice is a frequent complaint, especially in summer. We repair built-in, under-counter and refrigerator-mounted ice makers. [BUSINESS NAME] serves homeowners and businesses across Suffolk County, including Huntington, Smithtown, Islip, Babylon and Patchogue, with clear upfront pricing and no work started until you approve the quote.
If you are searching for ice maker repair near you, our technicians diagnose the real cause instead of guessing, which saves you from paying for parts you don't need. Call [PHONE] or request a visit online to get started.
H2: Signs Your Ice Maker Needs Repair
Appliances rarely fail without warning. These are the most common ice maker problems we see across Suffolk County and what usually causes them:
H3: No ice production
A failed water inlet valve, frozen fill tube or faulty ice maker module.
H3: Small or hollow cubes
Low water pressure, a clogged filter or a partially frozen fill line.
H3: Ice maker leaking
A cracked water line, loose fitting or overfilled mold.
H3: Ice tastes or smells off
An old water filter or unclean bin.
H3: Jammed or stuck ice
Cubes melting and refreezing from temperature swings.
H3: Dispenser not working
A faulty switch, door seal or motor.
H2: Our Ice Maker Repair Process
We check water supply, pressure, filters, the fill tube and the ice maker module itself, then restore production and test several cycles.
1. Book your visit by phone or online and tell us the brand, model and symptoms.
2. A technician arrives within the appointment window and inspects the ice maker.
3. You receive a clear explanation of the fault and a firm price before any work begins.
4. We complete the repair, test the appliance and show you the result.
5. You receive a written invoice and our warranty details: [INSERT PARTS AND LABOR WARRANTY].
H2: Parts We Replace Most Often
For ice maker repairs, the parts we replace most often include water inlet valves, ice maker modules, fill tubes, water filters and dispenser switches. We use quality OEM or equivalent parts, and we explain which options are available when more than one exists.
H2: Brands We Service
We repair ice maker models from Scotsman, Manitowoc, U-Line, Sub-Zero, Whirlpool, GE, Samsung, LG, Frigidaire, and Hoshizaki, along with many others. Not sure whether your model is covered? Tell us the brand and model number from the label and we will confirm before booking.
H2: Should You Repair or Replace Your Ice Maker?
Replacement ice maker modules are typically affordable, so repair is usually worthwhile for refrigerators and under-counter units alike.
Factors that help you decide include the age of the unit, the cost of the repair compared with a new appliance, how often it has broken down and how efficient it is compared with newer models. We give you an honest recommendation, even when that means telling you not to repair it.
H2: What Affects the Cost of Ice Maker Repair
The final price depends on the diagnosis, the part needed, the brand and how hard the appliance is to access. Rather than quoting a vague range over the phone, we diagnose first, give you a firm written price and wait for your approval. Diagnostic fee: [INSERT DIAGNOSTIC FEE, CREDITED TOWARD REPAIR IF APPLICABLE].
H2: Maintenance Tips to Prevent Future Breakdowns
- Replace the water filter every six months.
- Keep the freezer at 0°F.
- Empty and clean the bin regularly.
- Do not store items against the ice maker.
Safety note: Turn off the water supply if you notice leaking near the ice maker.
H2: Why Suffolk County Customers Choose [BUSINESS NAME]
We are a local team that knows Long Island homes, from older North Shore houses to South Shore condos and apartments. Our technicians are [INSERT LICENSING / INSURANCE DETAILS], and we aim to show up on time, keep your home clean and explain every step in plain English. Customers value honest quotes, tidy work and repairs that last.
H2: Ice Maker Repair Near You
We provide service in these areas, each with its own local page:
- Ice Maker Repair in Huntington, NY
- Ice Maker Repair in Smithtown, NY
- Ice Maker Repair in Islip, NY
- Ice Maker Repair in Babylon, NY
- Ice Maker Repair in Patchogue, NY
If your neighborhood is not listed, contact us. We may still be able to help, depending on your location.
H2: Frequently Asked Questions
Q: Why has my ice maker stopped making ice?
A: A frozen fill tube, failed inlet valve or faulty module is the usual cause.
Q: How often should I change the water filter?
A: Most manufacturers recommend every six months.
Q: Do you repair commercial ice machines?
A: Yes, we also service commercial ice machines for restaurants and businesses.
Q: How much does ice maker repair cost in Suffolk County?
A: The cost depends on the fault, the part and the brand. We diagnose the problem first and give a written quote so you know the price before work begins.
Q: How quickly can you schedule ice maker repair?
A: Availability varies by day and location. [INSERT YOUR SAME-DAY / NEXT-DAY POLICY HERE]. Call us and we will offer the earliest appointment window.
Q: Do you guarantee your repairs?
A: Yes. We back our work with a [INSERT WARRANTY LENGTH] parts and labor warranty, so you are covered if the same problem returns.
H2: Schedule Your Ice Maker Repair Today
Don't live with a broken ice maker. Call [PHONE] or use our online booking form to schedule a technician anywhere in Suffolk County.</t>
  </si>
  <si>
    <t xml:space="preserve">All Services -&gt; /appliance-repair-services/
Refrigerator Repair -&gt; /refrigerator-repair/
Freezer Repair -&gt; /freezer-repair/
Commercial Appliance Repair -&gt; /commercial-appliance-repair/
Ice Maker Repair in Huntington, NY -&gt; /ice-maker-repair/huntington-ny/
Ice Maker Repair in Smithtown, NY -&gt; /ice-maker-repair/smithtown-ny/
Ice Maker Repair in Islip, NY -&gt; /ice-maker-repair/islip-ny/
Ice Maker Repair in Babylon, NY -&gt; /ice-maker-repair/babylon-ny/
Ice Maker Repair in Patchogue, NY -&gt; /ice-maker-repair/patchogue-ny/
Brands We Service -&gt; /appliance-brands/
Service Areas -&gt; /service-areas/
Contact Us -&gt; /contact/
Reviews -&gt; /reviews/</t>
  </si>
  <si>
    <t xml:space="preserve">Wine Cooler Repair</t>
  </si>
  <si>
    <t xml:space="preserve">/wine-cooler-repair/</t>
  </si>
  <si>
    <t xml:space="preserve">Wine Cooler Repair Suffolk County NY</t>
  </si>
  <si>
    <t xml:space="preserve">Wine Cooler Repair Suffolk County, NY | [BUSINESS NAME]</t>
  </si>
  <si>
    <t xml:space="preserve">Need wine cooler repair in Suffolk County, NY? Local technicians fix temperature, noise and compressor issues with upfront quotes. Call [PHONE] to book.</t>
  </si>
  <si>
    <t xml:space="preserve">H1: Wine Cooler Repair in Suffolk County, NY
Wine needs steady temperature and humidity, so even small cooling faults can harm a collection. We repair built-in, freestanding, dual-zone and under-counter wine coolers. [BUSINESS NAME] serves homeowners and businesses across Suffolk County, including Huntington, Smithtown, Islip, Babylon and Patchogue, with clear upfront pricing and no work started until you approve the quote.
If you are searching for wine cooler repair near you, our technicians diagnose the real cause instead of guessing, which saves you from paying for parts you don't need. Call [PHONE] or request a visit online to get started.
H2: Signs Your Wine Cooler Needs Repair
Appliances rarely fail without warning. These are the most common wine cooler problems we see across Suffolk County and what usually causes them:
H3: Not cooling to set temperature
A failed compressor, fan or thermostat, or a thermoelectric module on some models.
H3: Temperature swinging
A bad sensor or control board.
H3: Excess vibration or noise
Loose fans or compressor mounts.
H3: Condensation inside
A failing door seal or humidity imbalance.
H3: Display errors
A control board or sensor fault.
H3: Door not sealing
A worn gasket or misaligned hinge.
H2: Our Wine Cooler Repair Process
We confirm temperature accuracy in each zone, test fans, sensors and the cooling system, and advise on safe handling of your bottles during repair.
1. Book your visit by phone or online and tell us the brand, model and symptoms.
2. A technician arrives within the appointment window and inspects the wine cooler.
3. You receive a clear explanation of the fault and a firm price before any work begins.
4. We complete the repair, test the appliance and show you the result.
5. You receive a written invoice and our warranty details: [INSERT PARTS AND LABOR WARRANTY].
H2: Parts We Replace Most Often
For wine cooler repairs, the parts we replace most often include thermostats, temperature sensors, fans, compressors and door gaskets. We use quality OEM or equivalent parts, and we explain which options are available when more than one exists.
H2: Brands We Service
We repair wine cooler models from EdgeStar, U-Line, Sub-Zero, Perlick, Vinotemp, Whynter, Danby, Avanti, Wine Enthusiast, and Kalamera, along with many others. Not sure whether your model is covered? Tell us the brand and model number from the label and we will confirm before booking.
H2: Should You Repair or Replace Your Wine Cooler?
Most wine coolers are worth repairing when the fault is a fan, sensor or seal; thermoelectric units with failed modules may be less cost-effective.
Factors that help you decide include the age of the unit, the cost of the repair compared with a new appliance, how often it has broken down and how efficient it is compared with newer models. We give you an honest recommendation, even when that means telling you not to repair it.
H2: What Affects the Cost of Wine Cooler Repair
The final price depends on the diagnosis, the part needed, the brand and how hard the appliance is to access. Rather than quoting a vague range over the phone, we diagnose first, give you a firm written price and wait for your approval. Diagnostic fee: [INSERT DIAGNOSTIC FEE, CREDITED TOWARD REPAIR IF APPLICABLE].
H2: Maintenance Tips to Prevent Future Breakdowns
- Keep the cooler away from direct heat and sunlight.
- Maintain 12 to 24 inches clearance if front-vented guidance isn't followed.
- Clean condenser coils regularly.
- Check the door seal for gaps.
Safety note: Move valuable bottles to a cool, dark place if the unit loses temperature.
H2: Why Suffolk County Customers Choose [BUSINESS NAME]
We are a local team that knows Long Island homes, from older North Shore houses to South Shore condos and apartments. Our technicians are [INSERT LICENSING / INSURANCE DETAILS], and we aim to show up on time, keep your home clean and explain every step in plain English. Customers value honest quotes, tidy work and repairs that last.
H2: Wine Cooler Repair Near You
We provide service in these areas, each with its own local page:
- Wine Cooler Repair in Huntington, NY
- Wine Cooler Repair in Smithtown, NY
- Wine Cooler Repair in Islip, NY
- Wine Cooler Repair in Babylon, NY
- Wine Cooler Repair in Patchogue, NY
If your neighborhood is not listed, contact us. We may still be able to help, depending on your location.
H2: Frequently Asked Questions
Q: What temperature should a wine cooler hold?
A: Many collectors keep reds near 55 to 65°F and whites slightly cooler, but follow the manufacturer's guidance.
Q: Why is my wine cooler not cooling?
A: A failed fan, thermostat or compressor is the usual cause.
Q: Do you repair under-counter and built-in units?
A: Yes, we service freestanding and built-in coolers from many brands.
Q: How much does wine cooler repair cost in Suffolk County?
A: The cost depends on the fault, the part and the brand. We diagnose the problem first and give a written quote so you know the price before work begins.
Q: How quickly can you schedule wine cooler repair?
A: Availability varies by day and location. [INSERT YOUR SAME-DAY / NEXT-DAY POLICY HERE]. Call us and we will offer the earliest appointment window.
Q: Do you guarantee your repairs?
A: Yes. We back our work with a [INSERT WARRANTY LENGTH] parts and labor warranty, so you are covered if the same problem returns.
H2: Schedule Your Wine Cooler Repair Today
Don't live with a broken wine cooler. Call [PHONE] or use our online booking form to schedule a technician anywhere in Suffolk County.</t>
  </si>
  <si>
    <t xml:space="preserve">All Services -&gt; /appliance-repair-services/
Refrigerator Repair -&gt; /refrigerator-repair/
Ice Maker Repair -&gt; /ice-maker-repair/
Luxury Appliance Repair -&gt; /luxury-appliance-repair/
Wine Cooler Repair in Huntington, NY -&gt; /wine-cooler-repair/huntington-ny/
Wine Cooler Repair in Smithtown, NY -&gt; /wine-cooler-repair/smithtown-ny/
Wine Cooler Repair in Islip, NY -&gt; /wine-cooler-repair/islip-ny/
Wine Cooler Repair in Babylon, NY -&gt; /wine-cooler-repair/babylon-ny/
Wine Cooler Repair in Patchogue, NY -&gt; /wine-cooler-repair/patchogue-ny/
Brands We Service -&gt; /appliance-brands/
Service Areas -&gt; /service-areas/
Contact Us -&gt; /contact/
Reviews -&gt; /reviews/</t>
  </si>
  <si>
    <t xml:space="preserve">Garbage Disposal Repair</t>
  </si>
  <si>
    <t xml:space="preserve">/garbage-disposal-repair/</t>
  </si>
  <si>
    <t xml:space="preserve">Garbage Disposal Repair Suffolk County NY</t>
  </si>
  <si>
    <t xml:space="preserve">Garbage Disposal Repair Suffolk County, NY | [BUSINESS NAME]</t>
  </si>
  <si>
    <t xml:space="preserve">Need garbage disposal repair in Suffolk County, NY? Local technicians fix jams, leaks and motor failures with upfront quotes. Call [PHONE] to book.</t>
  </si>
  <si>
    <t xml:space="preserve">H1: Garbage Disposal Repair in Suffolk County, NY
A jammed or leaking garbage disposal can back up your kitchen sink and disrupt dishwasher drainage. We repair and replace continuous-feed and batch-feed disposals. [BUSINESS NAME] serves homeowners and businesses across Suffolk County, including Huntington, Smithtown, Islip, Babylon and Patchogue, with clear upfront pricing and no work started until you approve the quote.
If you are searching for garbage disposal repair near you, our technicians diagnose the real cause instead of guessing, which saves you from paying for parts you don't need. Call [PHONE] or request a visit online to get started.
H2: Signs Your Garbage Disposal Needs Repair
Appliances rarely fail without warning. These are the most common garbage disposal problems we see across Suffolk County and what usually causes them:
H3: Humming but not spinning
A jammed flywheel or seized motor, often cleared with a hex key or rotation tool.
H3: Completely dead
A tripped reset button, failed switch or electrical fault.
H3: Leaking underneath
A worn seal, loose flange or cracked housing.
H3: Slow drain or clogging
Debris buildup or a blocked drain line.
H3: Bad odors
Food residue and grease coating the grinding chamber.
H3: Loud grinding noise
A foreign object or worn components.
H2: Our Garbage Disposal Repair Process
We clear jams, check seals and electrical supply and either repair or recommend replacement, always confirming the cost before proceeding.
1. Book your visit by phone or online and tell us the brand, model and symptoms.
2. A technician arrives within the appointment window and inspects the garbage disposal.
3. You receive a clear explanation of the fault and a firm price before any work begins.
4. We complete the repair, test the appliance and show you the result.
5. You receive a written invoice and our warranty details: [INSERT PARTS AND LABOR WARRANTY].
H2: Parts We Replace Most Often
For garbage disposal repairs, the parts we replace most often include reset switches, flange seals, mounting kits and motors. We use quality OEM or equivalent parts, and we explain which options are available when more than one exists.
H2: Brands We Service
We repair garbage disposal models from InSinkErator, Waste King, Moen, Kenmore, Whirlpool, GE, KitchenAid, and Badger, along with many others. Not sure whether your model is covered? Tell us the brand and model number from the label and we will confirm before booking.
H2: Should You Repair or Replace Your Garbage Disposal?
Disposals typically last 8 to 12 years, and replacement is often more economical than repairing a seized or leaking motor.
Factors that help you decide include the age of the unit, the cost of the repair compared with a new appliance, how often it has broken down and how efficient it is compared with newer models. We give you an honest recommendation, even when that means telling you not to repair it.
H2: What Affects the Cost of Garbage Disposal Repair
The final price depends on the diagnosis, the part needed, the brand and how hard the appliance is to access. Rather than quoting a vague range over the phone, we diagnose first, give you a firm written price and wait for your approval. Diagnostic fee: [INSERT DIAGNOSTIC FEE, CREDITED TOWARD REPAIR IF APPLICABLE].
H2: Maintenance Tips to Prevent Future Breakdowns
- Run cold water while grinding.
- Avoid grease, bones and fibrous scraps.
- Grind ice or citrus peels occasionally for freshening.
- Use the reset button before calling for service.
Safety note: Never put your hand into a disposal, and switch off power before inspecting it.
H2: Why Suffolk County Customers Choose [BUSINESS NAME]
We are a local team that knows Long Island homes, from older North Shore houses to South Shore condos and apartments. Our technicians are [INSERT LICENSING / INSURANCE DETAILS], and we aim to show up on time, keep your home clean and explain every step in plain English. Customers value honest quotes, tidy work and repairs that last.
H2: Garbage Disposal Repair Near You
We provide service in these areas, each with its own local page:
- Garbage Disposal Repair in Huntington, NY
- Garbage Disposal Repair in Smithtown, NY
- Garbage Disposal Repair in Islip, NY
- Garbage Disposal Repair in Babylon, NY
- Garbage Disposal Repair in Patchogue, NY
If your neighborhood is not listed, contact us. We may still be able to help, depending on your location.
H2: Frequently Asked Questions
Q: Why does my disposal hum but not spin?
A: The flywheel is usually jammed; a technician can free it safely.
Q: Why is my disposal leaking?
A: A worn seal, loose flange or cracked housing is typically responsible.
Q: Should I repair or replace a disposal?
A: If the motor has failed or the housing leaks, replacement is usually the better value.
Q: How much does garbage disposal repair cost in Suffolk County?
A: The cost depends on the fault, the part and the brand. We diagnose the problem first and give a written quote so you know the price before work begins.
Q: How quickly can you schedule garbage disposal repair?
A: Availability varies by day and location. [INSERT YOUR SAME-DAY / NEXT-DAY POLICY HERE]. Call us and we will offer the earliest appointment window.
Q: Do you guarantee your repairs?
A: Yes. We back our work with a [INSERT WARRANTY LENGTH] parts and labor warranty, so you are covered if the same problem returns.
H2: Schedule Your Garbage Disposal Repair Today
Don't live with a broken garbage disposal. Call [PHONE] or use our online booking form to schedule a technician anywhere in Suffolk County.</t>
  </si>
  <si>
    <t xml:space="preserve">All Services -&gt; /appliance-repair-services/
Dishwasher Repair -&gt; /dishwasher-repair/
Washing Machine Repair -&gt; /washer-repair/
Refrigerator Repair -&gt; /refrigerator-repair/
Garbage Disposal Repair in Huntington, NY -&gt; /garbage-disposal-repair/huntington-ny/
Garbage Disposal Repair in Smithtown, NY -&gt; /garbage-disposal-repair/smithtown-ny/
Garbage Disposal Repair in Islip, NY -&gt; /garbage-disposal-repair/islip-ny/
Garbage Disposal Repair in Babylon, NY -&gt; /garbage-disposal-repair/babylon-ny/
Garbage Disposal Repair in Patchogue, NY -&gt; /garbage-disposal-repair/patchogue-ny/
Brands We Service -&gt; /appliance-brands/
Service Areas -&gt; /service-areas/
Contact Us -&gt; /contact/
Reviews -&gt; /reviews/</t>
  </si>
  <si>
    <t xml:space="preserve">Commercial Appliance Repair</t>
  </si>
  <si>
    <t xml:space="preserve">/commercial-appliance-repair/</t>
  </si>
  <si>
    <t xml:space="preserve">Commercial Appliance Repair Suffolk County NY</t>
  </si>
  <si>
    <t xml:space="preserve">Commercial Appliance Repair Suffolk County, NY | [BUSINESS</t>
  </si>
  <si>
    <t xml:space="preserve">Need commercial appliance repair in Suffolk County, NY? Local techs fix refrigeration, cooking and ice equipment. Call [PHONE] to book.</t>
  </si>
  <si>
    <t xml:space="preserve">H1: Commercial Appliance Repair in Suffolk County, NY
For restaurants, delis, cafes and shops, downtime costs money every hour. We repair commercial refrigeration, ranges, ovens, fryers, ice machines and other kitchen equipment. [BUSINESS NAME] serves homeowners and businesses across Suffolk County, including Huntington, Smithtown, Islip, Babylon and Patchogue, with clear upfront pricing and no work started until you approve the quote.
If you are searching for commercial appliance repair near you, our technicians diagnose the real cause instead of guessing, which saves you from paying for parts you don't need. Call [PHONE] or request a visit online to get started.
H2: Signs Your Commercial Appliance Needs Repair
Appliances rarely fail without warning. These are the most common commercial appliance problems we see across Suffolk County and what usually causes them:
H3: Walk-in or reach-in not holding temperature
A failed condenser fan, evaporator fan, compressor relay or thermostat.
H3: Commercial ice machine not producing
A water supply fault, failed sensor or dirty condenser.
H3: Range or oven not heating
A failed igniter, thermostat, pilot or gas valve.
H3: Fryer won't hold temperature
A faulty thermostat, high-limit or heating element.
H3: Dish machine problems
Wash pump, heating or drain faults.
H3: Water or gas leaks
Damaged fittings, seals or hoses that need prompt repair.
H2: Our Commercial Appliance Repair Process
We prioritize fast diagnosis to get your kitchen back up. After a clear estimate we repair the fault, and can recommend preventive maintenance plans for key equipment.
1. Book your visit by phone or online and tell us the brand, model and symptoms.
2. A technician arrives within the appointment window and inspects the commercial appliance.
3. You receive a clear explanation of the fault and a firm price before any work begins.
4. We complete the repair, test the appliance and show you the result.
5. You receive a written invoice and our warranty details: [INSERT PARTS AND LABOR WARRANTY].
H2: Parts We Replace Most Often
For commercial appliance repairs, the parts we replace most often include thermostats, igniters, fan motors, compressors, contactors and valves. We use quality OEM or equivalent parts, and we explain which options are available when more than one exists.
H2: Brands We Service
We repair commercial appliance models from True, Hoshizaki, Scotsman, Manitowoc, Vulcan, Garland, Hobart, Traulsen, Turbo Air, and Blodgett, along with many others. Not sure whether your model is covered? Tell us the brand and model number from the label and we will confirm before booking.
H2: Should You Repair or Replace Your Commercial Appliance?
We help you weigh repair against replacement based on equipment age, repair cost and downtime risk.
Factors that help you decide include the age of the unit, the cost of the repair compared with a new appliance, how often it has broken down and how efficient it is compared with newer models. We give you an honest recommendation, even when that means telling you not to repair it.
H2: What Affects the Cost of Commercial Appliance Repair
The final price depends on the diagnosis, the part needed, the brand and how hard the appliance is to access. Rather than quoting a vague range over the phone, we diagnose first, give you a firm written price and wait for your approval. Diagnostic fee: [INSERT DIAGNOSTIC FEE, CREDITED TOWARD REPAIR IF APPLICABLE].
H2: Maintenance Tips to Prevent Future Breakdowns
- Clean condenser coils monthly.
- Check door gaskets weekly.
- Log temperatures daily for inspections.
- Schedule preventive maintenance before busy seasons.
Safety note: If you suspect a gas leak, shut off the supply and evacuate before calling anyone.
H2: Why Suffolk County Customers Choose [BUSINESS NAME]
We are a local team that knows Long Island homes, from older North Shore houses to South Shore condos and apartments. Our technicians are [INSERT LICENSING / INSURANCE DETAILS], and we aim to show up on time, keep your home clean and explain every step in plain English. Customers value honest quotes, tidy work and repairs that last.
H2: Commercial Appliance Repair Near You
We provide service in these areas, each with its own local page:
- Commercial Appliance Repair in Huntington, NY
- Commercial Appliance Repair in Smithtown, NY
- Commercial Appliance Repair in Islip, NY
- Commercial Appliance Repair in Babylon, NY
- Commercial Appliance Repair in Patchogue, NY
If your neighborhood is not listed, contact us. We may still be able to help, depending on your location.
H2: Frequently Asked Questions
Q: Do you offer emergency commercial repairs?
A: Availability depends on your schedule and our team; contact us to arrange priority service for your business.
Q: Can you maintain equipment on a schedule?
A: Yes, preventive maintenance helps avoid unexpected failures.
Q: What commercial equipment do you repair?
A: Refrigeration, ranges, ovens, fryers, ice machines and similar kitchen equipment.
Q: How much does commercial appliance repair cost in Suffolk County?
A: The cost depends on the fault, the part and the brand. We diagnose the problem first and give a written quote so you know the price before work begins.
Q: How quickly can you schedule commercial appliance repair?
A: Availability varies by day and location. [INSERT YOUR SAME-DAY / NEXT-DAY POLICY HERE]. Call us and we will offer the earliest appointment window.
Q: Do you guarantee your repairs?
A: Yes. We back our work with a [INSERT WARRANTY LENGTH] parts and labor warranty, so you are covered if the same problem returns.
H2: Schedule Your Commercial Appliance Repair Today
Don't live with a broken commercial appliance. Call [PHONE] or use our online booking form to schedule a technician anywhere in Suffolk County.</t>
  </si>
  <si>
    <t xml:space="preserve">All Services -&gt; /appliance-repair-services/
Ice Maker Repair -&gt; /ice-maker-repair/
Freezer Repair -&gt; /freezer-repair/
Refrigerator Repair -&gt; /refrigerator-repair/
Commercial Appliance Repair in Huntington, NY -&gt; /commercial-appliance-repair/huntington-ny/
Commercial Appliance Repair in Smithtown, NY -&gt; /commercial-appliance-repair/smithtown-ny/
Commercial Appliance Repair in Islip, NY -&gt; /commercial-appliance-repair/islip-ny/
Commercial Appliance Repair in Babylon, NY -&gt; /commercial-appliance-repair/babylon-ny/
Commercial Appliance Repair in Patchogue, NY -&gt; /commercial-appliance-repair/patchogue-ny/
Brands We Service -&gt; /appliance-brands/
Service Areas -&gt; /service-areas/
Contact Us -&gt; /contact/
Reviews -&gt; /reviews/</t>
  </si>
  <si>
    <t xml:space="preserve">Suffolk County Department of Health Services -&gt; https://www.suffolkcountyny.gov/Departments/Health-Services
ENERGY STAR certified products -&gt; https://www.energystar.gov/products</t>
  </si>
  <si>
    <t xml:space="preserve">Luxury Appliance Repair</t>
  </si>
  <si>
    <t xml:space="preserve">/luxury-appliance-repair/</t>
  </si>
  <si>
    <t xml:space="preserve">Luxury Appliance Repair Suffolk County NY</t>
  </si>
  <si>
    <t xml:space="preserve">Luxury Appliance Repair Suffolk County, NY | [BUSINESS NAME]</t>
  </si>
  <si>
    <t xml:space="preserve">Need luxury appliance repair in Suffolk County, NY? Local techs fix high-end refrigeration and cooking faults. Call [PHONE] to book.</t>
  </si>
  <si>
    <t xml:space="preserve">H1: Luxury Appliance Repair in Suffolk County, NY
Premium appliances demand technicians who understand their design and parts. We repair high-end refrigeration, ranges, wall ovens, cooktops and wine storage. [BUSINESS NAME] serves homeowners and businesses across Suffolk County, including Huntington, Smithtown, Islip, Babylon and Patchogue, with clear upfront pricing and no work started until you approve the quote.
If you are searching for luxury appliance repair near you, our technicians diagnose the real cause instead of guessing, which saves you from paying for parts you don't need. Call [PHONE] or request a visit online to get started.
H2: Signs Your Luxury Appliance Needs Repair
Appliances rarely fail without warning. These are the most common luxury appliance problems we see across Suffolk County and what usually causes them:
H3: Integrated refrigerator not cooling
Sealed-system, fan or control issues unique to built-in units.
H3: Professional range igniter failure
Worn igniters and spark modules.
H3: Control or display errors
Electronic boards or sensors requiring brand-specific diagnostics.
H3: Inconsistent oven temperature
A faulty sensor or convection fan.
H3: Water dispenser or ice faults
Valve, filter or module problems.
H3: Panel alignment or door issues
Hinges, gaskets and cabinetry fit.
H2: Our Luxury Appliance Repair Process
We use manufacturer-specified parts and procedures wherever available, protect your cabinetry and finishes and explain every step before work begins.
1. Book your visit by phone or online and tell us the brand, model and symptoms.
2. A technician arrives within the appointment window and inspects the luxury appliance.
3. You receive a clear explanation of the fault and a firm price before any work begins.
4. We complete the repair, test the appliance and show you the result.
5. You receive a written invoice and our warranty details: [INSERT PARTS AND LABOR WARRANTY].
H2: Parts We Replace Most Often
For luxury appliance repairs, the parts we replace most often include OEM boards, sensors, igniters, fans, valves and gaskets. We use quality OEM or equivalent parts, and we explain which options are available when more than one exists.
H2: Brands We Service
We repair luxury appliance models from Sub-Zero, Wolf, Viking, Thermador, Miele, Gaggenau, Bosch Benchmark, Jenn-Air, Dacor, Fisher &amp; Paykel, Cove, and Liebherr, along with many others. Not sure whether your model is covered? Tell us the brand and model number from the label and we will confirm before booking.
H2: Should You Repair or Replace Your Luxury Appliance?
Because luxury appliances are costly, repair is frequently the best value, particularly for sealed-system, igniter and board faults.
Factors that help you decide include the age of the unit, the cost of the repair compared with a new appliance, how often it has broken down and how efficient it is compared with newer models. We give you an honest recommendation, even when that means telling you not to repair it.
H2: What Affects the Cost of Luxury Appliance Repair
The final price depends on the diagnosis, the part needed, the brand and how hard the appliance is to access. Rather than quoting a vague range over the phone, we diagnose first, give you a firm written price and wait for your approval. Diagnostic fee: [INSERT DIAGNOSTIC FEE, CREDITED TOWARD REPAIR IF APPLICABLE].
H2: Maintenance Tips to Prevent Future Breakdowns
- Follow the manufacturer's maintenance schedule.
- Use only recommended cleaners on stainless and glass.
- Keep ventilation openings clear.
- Service early to protect warranty coverage.
Safety note: Check your warranty before authorizing work, as some repairs may be covered.
H2: Why Suffolk County Customers Choose [BUSINESS NAME]
We are a local team that knows Long Island homes, from older North Shore houses to South Shore condos and apartments. Our technicians are [INSERT LICENSING / INSURANCE DETAILS], and we aim to show up on time, keep your home clean and explain every step in plain English. Customers value honest quotes, tidy work and repairs that last.
H2: Luxury Appliance Repair Near You
We provide service in these areas, each with its own local page:
- Luxury Appliance Repair in Huntington, NY
- Luxury Appliance Repair in Smithtown, NY
- Luxury Appliance Repair in Islip, NY
- Luxury Appliance Repair in Babylon, NY
- Luxury Appliance Repair in Patchogue, NY
If your neighborhood is not listed, contact us. We may still be able to help, depending on your location.
H2: Frequently Asked Questions
Q: Do you repair Sub-Zero and Wolf appliances?
A: Yes, we service premium brands including Sub-Zero, Wolf, Viking, Thermador and Miele.
Q: Will repairs affect my warranty?
A: Check your warranty terms, and contact us if you are unsure which repairs are covered.
Q: Do you use OEM parts?
A: We use manufacturer-approved parts wherever available.
Q: How much does luxury appliance repair cost in Suffolk County?
A: The cost depends on the fault, the part and the brand. We diagnose the problem first and give a written quote so you know the price before work begins.
Q: How quickly can you schedule luxury appliance repair?
A: Availability varies by day and location. [INSERT YOUR SAME-DAY / NEXT-DAY POLICY HERE]. Call us and we will offer the earliest appointment window.
Q: Do you guarantee your repairs?
A: Yes. We back our work with a [INSERT WARRANTY LENGTH] parts and labor warranty, so you are covered if the same problem returns.
H2: Schedule Your Luxury Appliance Repair Today
Don't live with a broken luxury appliance. Call [PHONE] or use our online booking form to schedule a technician anywhere in Suffolk County.</t>
  </si>
  <si>
    <t xml:space="preserve">All Services -&gt; /appliance-repair-services/
Wine Cooler Repair -&gt; /wine-cooler-repair/
Cooktop Repair -&gt; /cooktop-repair/
Refrigerator Repair -&gt; /refrigerator-repair/
Luxury Appliance Repair in Huntington, NY -&gt; /luxury-appliance-repair/huntington-ny/
Luxury Appliance Repair in Smithtown, NY -&gt; /luxury-appliance-repair/smithtown-ny/
Luxury Appliance Repair in Islip, NY -&gt; /luxury-appliance-repair/islip-ny/
Luxury Appliance Repair in Babylon, NY -&gt; /luxury-appliance-repair/babylon-ny/
Luxury Appliance Repair in Patchogue, NY -&gt; /luxury-appliance-repair/patchogue-ny/
Brands We Service -&gt; /appliance-brands/
Service Areas -&gt; /service-areas/
Contact Us -&gt; /contact/
Reviews -&gt; /reviews/</t>
  </si>
  <si>
    <t xml:space="preserve">Sub-Zero Wolf Cove official site -&gt; https://www.subzero-wolf.com/
ENERGY STAR certified products -&gt; https://www.energystar.gov/products</t>
  </si>
  <si>
    <t xml:space="preserve">Huntington Locations</t>
  </si>
  <si>
    <t xml:space="preserve">Appliance Repair Huntington</t>
  </si>
  <si>
    <t xml:space="preserve">/appliance-repair-huntington-ny/</t>
  </si>
  <si>
    <t xml:space="preserve">Appliance Repair Huntington NY</t>
  </si>
  <si>
    <t xml:space="preserve">Appliance Repair Huntington, NY | [BUSINESS NAME]</t>
  </si>
  <si>
    <t xml:space="preserve">Local appliance repair in Huntington, NY for refrigerators, washers, dryers, ovens and more. Upfront quotes. Call [PHONE].</t>
  </si>
  <si>
    <t xml:space="preserve">H1: Appliance Repair in Huntington, NY
Huntington blends a walkable historic village with established North Shore neighborhoods, many of them with older kitchens, finished basements and a mix of classic and high-end appliances. [BUSINESS NAME] repairs the appliances Huntington households and businesses depend on, including refrigerator, freezer, washing machine, dryer, dishwasher, oven, stove &amp; range, and cooktop and more. Call [PHONE] to book.
H2: Neighborhoods We Serve in Huntington
We travel to Huntington Village, Huntington Station, Greenlawn, Halesite, Cold Spring Harbor, Melville, South Huntington, and Dix Hills and surrounding areas.
H2: Appliance Repair Services in Huntington
H3: Refrigerator Repair in Huntington
Larger North Shore homes often run a main refrigerator plus a basement freezer or beverage fridge, so units get heavy use and can age unnoticed until they fail. We repair cooling, leaking and noise problems for Huntington customers.
H3: Freezer Repair in Huntington
Larger North Shore homes often run a main refrigerator plus a basement freezer or beverage fridge, so units get heavy use and can age unnoticed until they fail. We repair warming, frost buildup and compressor problems for Huntington customers.
H3: Washing Machine Repair in Huntington
Many Huntington homes have laundry in basements or tight closets, where long dryer vent runs and limited airflow cause overheating and slow drying. We repair leaks, drainage and spin problems for Huntington customers.
H3: Dryer Repair in Huntington
Many Huntington homes have laundry in basements or tight closets, where long dryer vent runs and limited airflow cause overheating and slow drying. We repair no-heat, long drying times and noise for Huntington customers.
H3: Dishwasher Repair in Huntington
Established homes with older plumbing and renovated kitchens mean dishwashers and disposals have to be matched carefully to drain lines and under-sink space. We repair leaks, drain issues and cleaning problems for Huntington customers.
H3: Oven Repair in Huntington
Older Huntington homes often pair vintage gas ranges with updated kitchens, and renovated kitchens add built-in wall ovens and cooktops that need specialist care. We repair heating, temperature and door problems for Huntington customers.
H3: Stove &amp; Range Repair in Huntington
Older Huntington homes often pair vintage gas ranges with updated kitchens, and renovated kitchens add built-in wall ovens and cooktops that need specialist care. We repair burner, igniter and oven problems for Huntington customers.
H3: Cooktop Repair in Huntington
Older Huntington homes often pair vintage gas ranges with updated kitchens, and renovated kitchens add built-in wall ovens and cooktops that need specialist care. We repair burner, igniter and induction faults for Huntington customers.
H3: Microwave Repair in Huntington
Older Huntington homes often pair vintage gas ranges with updated kitchens, and renovated kitchens add built-in wall ovens and cooktops that need specialist care. We repair heating, display and door faults for Huntington customers.
H3: Ice Maker Repair in Huntington
Larger North Shore homes often run a main refrigerator plus a basement freezer or beverage fridge, so units get heavy use and can age unnoticed until they fail. We repair no ice, slow production and leaks for Huntington customers.
H3: Wine Cooler Repair in Huntington
Larger North Shore homes often run a main refrigerator plus a basement freezer or beverage fridge, so units get heavy use and can age unnoticed until they fail. We repair temperature, noise and compressor issues for Huntington customers.
H3: Garbage Disposal Repair in Huntington
Established homes with older plumbing and renovated kitchens mean dishwashers and disposals have to be matched carefully to drain lines and under-sink space. We repair jams, leaks and motor failures for Huntington customers.
H3: Commercial Appliance Repair in Huntington
Huntington Village's restaurants, cafes and shops depend on reach-in coolers, ranges and ice machines that cannot afford downtime. We repair refrigeration, cooking and ice equipment for Huntington customers.
H3: Luxury Appliance Repair in Huntington
Premium kitchens across Huntington and Dix Hills often feature integrated refrigeration, professional-style ranges and built-in coffee systems. We repair high-end refrigeration and cooking faults for Huntington customers.
H2: Why Huntington Residents Choose [BUSINESS NAME]
Local knowledge, upfront quotes, careful service and a warranty: [INSERT WARRANTY]. We explain the repair before we start and honestly recommend replacement when it makes more sense.
H2: How to Book
Call [PHONE] or use our online form with your Huntington address, the appliance type and the symptoms.
H2: Frequently Asked Questions
Q: Do you service all of Huntington?
A: We serve Huntington Village, Huntington Station, Greenlawn, Halesite, and Cold Spring Harbor and nearby areas. Contact us to confirm your address.
Q: Can you repair my appliance in Huntington on the same day?
A: [INSERT SAME-DAY / NEXT-DAY POLICY].
Q: Which appliances do you repair in Huntington?
A: Refrigerators, freezers, washers, dryers, dishwashers, ovens, stoves, cooktops, microwaves, ice makers, wine coolers, garbage disposals and commercial and luxury appliances.
H2: Book Appliance Repair in Huntington
Call [PHONE] today.
H2: What Makes Appliance Repair in Huntington Different
Larger North Shore homes often run a main refrigerator plus a basement freezer or beverage fridge, so units get heavy use and can age unnoticed until they fail. Many Huntington homes have laundry in basements or tight closets, where long dryer vent runs and limited airflow cause overheating and slow drying. Older Huntington homes often pair vintage gas ranges with updated kitchens, and renovated kitchens add built-in wall ovens and cooktops that need specialist care. Established homes with older plumbing and renovated kitchens mean dishwashers and disposals have to be matched carefully to drain lines and under-sink space. Our technicians know these patterns and check the most likely causes first.</t>
  </si>
  <si>
    <t xml:space="preserve">Refrigerator Repair in Huntington -&gt; /refrigerator-repair/huntington-ny/
Freezer Repair in Huntington -&gt; /freezer-repair/huntington-ny/
Washing Machine Repair in Huntington -&gt; /washer-repair/huntington-ny/
Dryer Repair in Huntington -&gt; /dryer-repair/huntington-ny/
Dishwasher Repair in Huntington -&gt; /dishwasher-repair/huntington-ny/
Oven Repair in Huntington -&gt; /oven-repair/huntington-ny/
Stove &amp; Range Repair in Huntington -&gt; /stove-range-repair/huntington-ny/
Cooktop Repair in Huntington -&gt; /cooktop-repair/huntington-ny/
Microwave Repair in Huntington -&gt; /microwave-repair/huntington-ny/
Ice Maker Repair in Huntington -&gt; /ice-maker-repair/huntington-ny/
Wine Cooler Repair in Huntington -&gt; /wine-cooler-repair/huntington-ny/
Garbage Disposal Repair in Huntington -&gt; /garbage-disposal-repair/huntington-ny/
Commercial Appliance Repair in Huntington -&gt; /commercial-appliance-repair/huntington-ny/
Luxury Appliance Repair in Huntington -&gt; /luxury-appliance-repair/huntington-ny/
Appliance Repair Smithtown -&gt; /appliance-repair-smithtown-ny/
Service Areas -&gt; /service-areas/
All Services -&gt; /appliance-repair-services/
Contact Us -&gt; /contact/</t>
  </si>
  <si>
    <t xml:space="preserve">Town of Huntington -&gt; https://www.huntingtonny.gov/
ENERGY STAR certified products -&gt; https://www.energystar.gov/products</t>
  </si>
  <si>
    <t xml:space="preserve">LocalBusiness / Service (areaServed)</t>
  </si>
  <si>
    <t xml:space="preserve">Smithtown Locations</t>
  </si>
  <si>
    <t xml:space="preserve">Appliance Repair Smithtown</t>
  </si>
  <si>
    <t xml:space="preserve">/appliance-repair-smithtown-ny/</t>
  </si>
  <si>
    <t xml:space="preserve">Appliance Repair Smithtown NY</t>
  </si>
  <si>
    <t xml:space="preserve">Appliance Repair Smithtown, NY | [BUSINESS NAME]</t>
  </si>
  <si>
    <t xml:space="preserve">Local appliance repair in Smithtown, NY for refrigerators, washers, dryers, ovens and more. Upfront quotes. Call [PHONE].</t>
  </si>
  <si>
    <t xml:space="preserve">H1: Appliance Repair in Smithtown, NY
Smithtown is largely suburban, with family-sized homes, busy kitchens and households that run several appliances every single day. [BUSINESS NAME] repairs the appliances Smithtown households and businesses depend on, including refrigerator, freezer, washing machine, dryer, dishwasher, oven, stove &amp; range, and cooktop and more. Call [PHONE] to book.
H2: Neighborhoods We Serve in Smithtown
We travel to Smithtown, Kings Park, St. James, Nesconset, Hauppauge, Fort Salonga, and Head of the Harbor and surrounding areas.
H2: Appliance Repair Services in Smithtown
H3: Refrigerator Repair in Smithtown
Larger family households mean refrigerators and garage or basement freezers work hard year-round, especially around holidays and summer gatherings. We repair cooling, leaking and noise problems for Smithtown customers.
H3: Freezer Repair in Smithtown
Larger family households mean refrigerators and garage or basement freezers work hard year-round, especially around holidays and summer gatherings. We repair warming, frost buildup and compressor problems for Smithtown customers.
H3: Washing Machine Repair in Smithtown
High-volume family laundry puts constant strain on washer bearings, drain pumps, dryer belts and heating elements. We repair leaks, drainage and spin problems for Smithtown customers.
H3: Dryer Repair in Smithtown
High-volume family laundry puts constant strain on washer bearings, drain pumps, dryer belts and heating elements. We repair no-heat, long drying times and noise for Smithtown customers.
H3: Dishwasher Repair in Smithtown
Busy family kitchens run the dishwasher daily and rely on disposals, so drain pumps, spray arms and clogged filters are frequent causes of service calls. We repair leaks, drain issues and cleaning problems for Smithtown customers.
H3: Oven Repair in Smithtown
Suburban kitchens in Smithtown often have double ovens, five-burner ranges and countertop cooktops that see heavy daily use. We repair heating, temperature and door problems for Smithtown customers.
H3: Stove &amp; Range Repair in Smithtown
Suburban kitchens in Smithtown often have double ovens, five-burner ranges and countertop cooktops that see heavy daily use. We repair burner, igniter and oven problems for Smithtown customers.
H3: Cooktop Repair in Smithtown
Suburban kitchens in Smithtown often have double ovens, five-burner ranges and countertop cooktops that see heavy daily use. We repair burner, igniter and induction faults for Smithtown customers.
H3: Microwave Repair in Smithtown
Suburban kitchens in Smithtown often have double ovens, five-burner ranges and countertop cooktops that see heavy daily use. We repair heating, display and door faults for Smithtown customers.
H3: Ice Maker Repair in Smithtown
Larger family households mean refrigerators and garage or basement freezers work hard year-round, especially around holidays and summer gatherings. We repair no ice, slow production and leaks for Smithtown customers.
H3: Wine Cooler Repair in Smithtown
Larger family households mean refrigerators and garage or basement freezers work hard year-round, especially around holidays and summer gatherings. We repair temperature, noise and compressor issues for Smithtown customers.
H3: Garbage Disposal Repair in Smithtown
Busy family kitchens run the dishwasher daily and rely on disposals, so drain pumps, spray arms and clogged filters are frequent causes of service calls. We repair jams, leaks and motor failures for Smithtown customers.
H3: Commercial Appliance Repair in Smithtown
Hauppauge's business parks and Smithtown's local eateries rely on commercial refrigeration and cooking equipment. We repair refrigeration, cooking and ice equipment for Smithtown customers.
H3: Luxury Appliance Repair in Smithtown
Larger Smithtown homes with remodeled kitchens often include built-in and panel-ready appliances from premium brands. We repair high-end refrigeration and cooking faults for Smithtown customers.
H2: Why Smithtown Residents Choose [BUSINESS NAME]
Local knowledge, upfront quotes, careful service and a warranty: [INSERT WARRANTY]. We explain the repair before we start and honestly recommend replacement when it makes more sense.
H2: How to Book
Call [PHONE] or use our online form with your Smithtown address, the appliance type and the symptoms.
H2: Frequently Asked Questions
Q: Do you service all of Smithtown?
A: We serve Smithtown, Kings Park, St. James, Nesconset, and Hauppauge and nearby areas. Contact us to confirm your address.
Q: Can you repair my appliance in Smithtown on the same day?
A: [INSERT SAME-DAY / NEXT-DAY POLICY].
Q: Which appliances do you repair in Smithtown?
A: Refrigerators, freezers, washers, dryers, dishwashers, ovens, stoves, cooktops, microwaves, ice makers, wine coolers, garbage disposals and commercial and luxury appliances.
H2: Book Appliance Repair in Smithtown
Call [PHONE] today.
H2: What Makes Appliance Repair in Smithtown Different
Larger family households mean refrigerators and garage or basement freezers work hard year-round, especially around holidays and summer gatherings. High-volume family laundry puts constant strain on washer bearings, drain pumps, dryer belts and heating elements. Suburban kitchens in Smithtown often have double ovens, five-burner ranges and countertop cooktops that see heavy daily use. Busy family kitchens run the dishwasher daily and rely on disposals, so drain pumps, spray arms and clogged filters are frequent causes of service calls. Our technicians know these patterns and check the most likely causes first.
H2: What to Expect From Your Appointment
Once you contact us, we confirm your Smithtown address, the appliance and symptoms and offer an appointment window. The technician diagnoses the fault, gives a firm price and waits for your approval. After the repair, we test the appliance and provide paperwork with your warranty: [INSERT WARRANTY].</t>
  </si>
  <si>
    <t xml:space="preserve">Refrigerator Repair in Smithtown -&gt; /refrigerator-repair/smithtown-ny/
Freezer Repair in Smithtown -&gt; /freezer-repair/smithtown-ny/
Washing Machine Repair in Smithtown -&gt; /washer-repair/smithtown-ny/
Dryer Repair in Smithtown -&gt; /dryer-repair/smithtown-ny/
Dishwasher Repair in Smithtown -&gt; /dishwasher-repair/smithtown-ny/
Oven Repair in Smithtown -&gt; /oven-repair/smithtown-ny/
Stove &amp; Range Repair in Smithtown -&gt; /stove-range-repair/smithtown-ny/
Cooktop Repair in Smithtown -&gt; /cooktop-repair/smithtown-ny/
Microwave Repair in Smithtown -&gt; /microwave-repair/smithtown-ny/
Ice Maker Repair in Smithtown -&gt; /ice-maker-repair/smithtown-ny/
Wine Cooler Repair in Smithtown -&gt; /wine-cooler-repair/smithtown-ny/
Garbage Disposal Repair in Smithtown -&gt; /garbage-disposal-repair/smithtown-ny/
Commercial Appliance Repair in Smithtown -&gt; /commercial-appliance-repair/smithtown-ny/
Luxury Appliance Repair in Smithtown -&gt; /luxury-appliance-repair/smithtown-ny/
Appliance Repair Huntington -&gt; /appliance-repair-huntington-ny/
Appliance Repair Islip -&gt; /appliance-repair-islip-ny/
Service Areas -&gt; /service-areas/
All Services -&gt; /appliance-repair-services/
Contact Us -&gt; /contact/</t>
  </si>
  <si>
    <t xml:space="preserve">Town of Smithtown -&gt; https://www.smithtownny.gov/
ENERGY STAR certified products -&gt; https://www.energystar.gov/products</t>
  </si>
  <si>
    <t xml:space="preserve">Islip Locations</t>
  </si>
  <si>
    <t xml:space="preserve">Appliance Repair Islip</t>
  </si>
  <si>
    <t xml:space="preserve">/appliance-repair-islip-ny/</t>
  </si>
  <si>
    <t xml:space="preserve">Appliance Repair Islip NY</t>
  </si>
  <si>
    <t xml:space="preserve">Appliance Repair Islip, NY | [BUSINESS NAME]</t>
  </si>
  <si>
    <t xml:space="preserve">Local appliance repair in Islip, NY for refrigerators, washers, dryers, ovens and more. Upfront quotes. Call [PHONE].</t>
  </si>
  <si>
    <t xml:space="preserve">H1: Appliance Repair in Islip, NY
Islip stretches across the South Shore, from waterfront communities near the Great South Bay to inland neighborhoods, with a wide mix of single-family homes, condos and rentals. [BUSINESS NAME] repairs the appliances Islip households and businesses depend on, including refrigerator, freezer, washing machine, dryer, dishwasher, oven, stove &amp; range, and cooktop and more. Call [PHONE] to book.
H2: Neighborhoods We Serve in Islip
We travel to Islip, East Islip, Islip Terrace, Bay Shore, Brentwood, Central Islip, Sayville, and Great River and surrounding areas.
H2: Appliance Repair Services in Islip
H3: Refrigerator Repair in Islip
Humid South Shore summers make refrigerators and freezers work harder, and dirty condenser coils are a common reason units run constantly. We repair cooling, leaking and noise problems for Islip customers.
H3: Freezer Repair in Islip
Humid South Shore summers make refrigerators and freezers work harder, and dirty condenser coils are a common reason units run constantly. We repair warming, frost buildup and compressor problems for Islip customers.
H3: Washing Machine Repair in Islip
Coastal humidity and salt air can shorten the life of metal components, and clogged dryer vents lengthen drying cycles in homes of every age. We repair leaks, drainage and spin problems for Islip customers.
H3: Dryer Repair in Islip
Coastal humidity and salt air can shorten the life of metal components, and clogged dryer vents lengthen drying cycles in homes of every age. We repair no-heat, long drying times and noise for Islip customers.
H3: Dishwasher Repair in Islip
A varied housing stock means plumbing and drain setups differ widely from home to home, which affects how dishwashers and disposals drain. We repair leaks, drain issues and cleaning problems for Islip customers.
H3: Oven Repair in Islip
Islip's mix of older bungalows and updated homes means both gas and electric cooking appliances, many with aging igniters and worn burner components. We repair heating, temperature and door problems for Islip customers.
H3: Stove &amp; Range Repair in Islip
Islip's mix of older bungalows and updated homes means both gas and electric cooking appliances, many with aging igniters and worn burner components. We repair burner, igniter and oven problems for Islip customers.
H3: Cooktop Repair in Islip
Islip's mix of older bungalows and updated homes means both gas and electric cooking appliances, many with aging igniters and worn burner components. We repair burner, igniter and induction faults for Islip customers.
H3: Microwave Repair in Islip
Islip's mix of older bungalows and updated homes means both gas and electric cooking appliances, many with aging igniters and worn burner components. We repair heating, display and door faults for Islip customers.
H3: Ice Maker Repair in Islip
Humid South Shore summers make refrigerators and freezers work harder, and dirty condenser coils are a common reason units run constantly. We repair no ice, slow production and leaks for Islip customers.
H3: Wine Cooler Repair in Islip
Humid South Shore summers make refrigerators and freezers work harder, and dirty condenser coils are a common reason units run constantly. We repair temperature, noise and compressor issues for Islip customers.
H3: Garbage Disposal Repair in Islip
A varied housing stock means plumbing and drain setups differ widely from home to home, which affects how dishwashers and disposals drain. We repair jams, leaks and motor failures for Islip customers.
H3: Commercial Appliance Repair in Islip
Bay Shore's restaurants and waterfront eateries, plus shops across Islip, depend on commercial refrigeration, ice machines and cooking lines. We repair refrigeration, cooking and ice equipment for Islip customers.
H3: Luxury Appliance Repair in Islip
Waterfront and high-end homes in areas like Great River and Sayville often feature premium built-in appliances that need brand-aware service. We repair high-end refrigeration and cooking faults for Islip customers.
H2: Why Islip Residents Choose [BUSINESS NAME]
Local knowledge, upfront quotes, careful service and a warranty: [INSERT WARRANTY]. We explain the repair before we start and honestly recommend replacement when it makes more sense.
H2: How to Book
Call [PHONE] or use our online form with your Islip address, the appliance type and the symptoms.
H2: Frequently Asked Questions
Q: Do you service all of Islip?
A: We serve Islip, East Islip, Islip Terrace, Bay Shore, and Brentwood and nearby areas. Contact us to confirm your address.
Q: Can you repair my appliance in Islip on the same day?
A: [INSERT SAME-DAY / NEXT-DAY POLICY].
Q: Which appliances do you repair in Islip?
A: Refrigerators, freezers, washers, dryers, dishwashers, ovens, stoves, cooktops, microwaves, ice makers, wine coolers, garbage disposals and commercial and luxury appliances.
H2: Book Appliance Repair in Islip
Call [PHONE] today.
H2: What Makes Appliance Repair in Islip Different
Humid South Shore summers make refrigerators and freezers work harder, and dirty condenser coils are a common reason units run constantly. Coastal humidity and salt air can shorten the life of metal components, and clogged dryer vents lengthen drying cycles in homes of every age. Islip's mix of older bungalows and updated homes means both gas and electric cooking appliances, many with aging igniters and worn burner components. A varied housing stock means plumbing and drain setups differ widely from home to home, which affects how dishwashers and disposals drain. Our technicians know these patterns and check the most likely causes first.</t>
  </si>
  <si>
    <t xml:space="preserve">Refrigerator Repair in Islip -&gt; /refrigerator-repair/islip-ny/
Freezer Repair in Islip -&gt; /freezer-repair/islip-ny/
Washing Machine Repair in Islip -&gt; /washer-repair/islip-ny/
Dryer Repair in Islip -&gt; /dryer-repair/islip-ny/
Dishwasher Repair in Islip -&gt; /dishwasher-repair/islip-ny/
Oven Repair in Islip -&gt; /oven-repair/islip-ny/
Stove &amp; Range Repair in Islip -&gt; /stove-range-repair/islip-ny/
Cooktop Repair in Islip -&gt; /cooktop-repair/islip-ny/
Microwave Repair in Islip -&gt; /microwave-repair/islip-ny/
Ice Maker Repair in Islip -&gt; /ice-maker-repair/islip-ny/
Wine Cooler Repair in Islip -&gt; /wine-cooler-repair/islip-ny/
Garbage Disposal Repair in Islip -&gt; /garbage-disposal-repair/islip-ny/
Commercial Appliance Repair in Islip -&gt; /commercial-appliance-repair/islip-ny/
Luxury Appliance Repair in Islip -&gt; /luxury-appliance-repair/islip-ny/
Appliance Repair Babylon -&gt; /appliance-repair-babylon-ny/
Appliance Repair Patchogue -&gt; /appliance-repair-patchogue-ny/
Appliance Repair Smithtown -&gt; /appliance-repair-smithtown-ny/
Service Areas -&gt; /service-areas/
All Services -&gt; /appliance-repair-services/
Contact Us -&gt; /contact/</t>
  </si>
  <si>
    <t xml:space="preserve">Town of Islip -&gt; https://www.islipny.gov/
ENERGY STAR certified products -&gt; https://www.energystar.gov/products</t>
  </si>
  <si>
    <t xml:space="preserve">Babylon Locations</t>
  </si>
  <si>
    <t xml:space="preserve">Appliance Repair Babylon</t>
  </si>
  <si>
    <t xml:space="preserve">/appliance-repair-babylon-ny/</t>
  </si>
  <si>
    <t xml:space="preserve">Appliance Repair Babylon NY</t>
  </si>
  <si>
    <t xml:space="preserve">Appliance Repair Babylon, NY | [BUSINESS NAME]</t>
  </si>
  <si>
    <t xml:space="preserve">Local appliance repair in Babylon, NY for refrigerators, washers, dryers, ovens and more. Upfront quotes. Call [PHONE].</t>
  </si>
  <si>
    <t xml:space="preserve">H1: Appliance Repair in Babylon, NY
The Town of Babylon covers busy South Shore villages and hamlets with a large share of well-kept single-family homes, plus apartments and rental units. [BUSINESS NAME] repairs the appliances Babylon households and businesses depend on, including refrigerator, freezer, washing machine, dryer, dishwasher, oven, stove &amp; range, and cooktop and more. Call [PHONE] to book.
H2: Neighborhoods We Serve in Babylon
We travel to Babylon Village, Lindenhurst, Copiague, West Babylon, North Babylon, Deer Park, and Wyandanch and surrounding areas.
H2: Appliance Repair Services in Babylon
H3: Refrigerator Repair in Babylon
In older and smaller homes, refrigerators are often tucked into tight spaces with little ventilation, causing overheating and extra compressor strain. We repair cooling, leaking and noise problems for Babylon customers.
H3: Freezer Repair in Babylon
In older and smaller homes, refrigerators are often tucked into tight spaces with little ventilation, causing overheating and extra compressor strain. We repair warming, frost buildup and compressor problems for Babylon customers.
H3: Washing Machine Repair in Babylon
Compact laundry rooms and stackable units in smaller homes and apartments mean short vent runs where lint buildup quickly reduces drying performance. We repair leaks, drainage and spin problems for Babylon customers.
H3: Dryer Repair in Babylon
Compact laundry rooms and stackable units in smaller homes and apartments mean short vent runs where lint buildup quickly reduces drying performance. We repair no-heat, long drying times and noise for Babylon customers.
H3: Dishwasher Repair in Babylon
Dishwashers and disposals in compact kitchens often share tight cabinets, so leaks and slow drains are best caught early. We repair leaks, drain issues and cleaning problems for Babylon customers.
H3: Oven Repair in Babylon
Many Babylon homes use gas ranges and wall ovens that have been in service for years, so igniters, thermostats and control boards are common repairs. We repair heating, temperature and door problems for Babylon customers.
H3: Stove &amp; Range Repair in Babylon
Many Babylon homes use gas ranges and wall ovens that have been in service for years, so igniters, thermostats and control boards are common repairs. We repair burner, igniter and oven problems for Babylon customers.
H3: Cooktop Repair in Babylon
Many Babylon homes use gas ranges and wall ovens that have been in service for years, so igniters, thermostats and control boards are common repairs. We repair burner, igniter and induction faults for Babylon customers.
H3: Microwave Repair in Babylon
Many Babylon homes use gas ranges and wall ovens that have been in service for years, so igniters, thermostats and control boards are common repairs. We repair heating, display and door faults for Babylon customers.
H3: Ice Maker Repair in Babylon
In older and smaller homes, refrigerators are often tucked into tight spaces with little ventilation, causing overheating and extra compressor strain. We repair no ice, slow production and leaks for Babylon customers.
H3: Wine Cooler Repair in Babylon
In older and smaller homes, refrigerators are often tucked into tight spaces with little ventilation, causing overheating and extra compressor strain. We repair temperature, noise and compressor issues for Babylon customers.
H3: Garbage Disposal Repair in Babylon
Dishwashers and disposals in compact kitchens often share tight cabinets, so leaks and slow drains are best caught early. We repair jams, leaks and motor failures for Babylon customers.
H3: Commercial Appliance Repair in Babylon
Local restaurants, delis, bakeries and pizzerias throughout Babylon rely on commercial ranges, ovens and refrigeration. We repair refrigeration, cooking and ice equipment for Babylon customers.
H3: Luxury Appliance Repair in Babylon
Renovated South Shore kitchens increasingly include premium and built-in appliances that call for careful, brand-specific repair. We repair high-end refrigeration and cooking faults for Babylon customers.
H2: Why Babylon Residents Choose [BUSINESS NAME]
Local knowledge, upfront quotes, careful service and a warranty: [INSERT WARRANTY]. We explain the repair before we start and honestly recommend replacement when it makes more sense.
H2: How to Book
Call [PHONE] or use our online form with your Babylon address, the appliance type and the symptoms.
H2: Frequently Asked Questions
Q: Do you service all of Babylon?
A: We serve Babylon Village, Lindenhurst, Copiague, West Babylon, and North Babylon and nearby areas. Contact us to confirm your address.
Q: Can you repair my appliance in Babylon on the same day?
A: [INSERT SAME-DAY / NEXT-DAY POLICY].
Q: Which appliances do you repair in Babylon?
A: Refrigerators, freezers, washers, dryers, dishwashers, ovens, stoves, cooktops, microwaves, ice makers, wine coolers, garbage disposals and commercial and luxury appliances.
H2: Book Appliance Repair in Babylon
Call [PHONE] today.
H2: What Makes Appliance Repair in Babylon Different
In older and smaller homes, refrigerators are often tucked into tight spaces with little ventilation, causing overheating and extra compressor strain. Compact laundry rooms and stackable units in smaller homes and apartments mean short vent runs where lint buildup quickly reduces drying performance. Many Babylon homes use gas ranges and wall ovens that have been in service for years, so igniters, thermostats and control boards are common repairs. Dishwashers and disposals in compact kitchens often share tight cabinets, so leaks and slow drains are best caught early. Our technicians know these patterns and check the most likely causes first.</t>
  </si>
  <si>
    <t xml:space="preserve">Refrigerator Repair in Babylon -&gt; /refrigerator-repair/babylon-ny/
Freezer Repair in Babylon -&gt; /freezer-repair/babylon-ny/
Washing Machine Repair in Babylon -&gt; /washer-repair/babylon-ny/
Dryer Repair in Babylon -&gt; /dryer-repair/babylon-ny/
Dishwasher Repair in Babylon -&gt; /dishwasher-repair/babylon-ny/
Oven Repair in Babylon -&gt; /oven-repair/babylon-ny/
Stove &amp; Range Repair in Babylon -&gt; /stove-range-repair/babylon-ny/
Cooktop Repair in Babylon -&gt; /cooktop-repair/babylon-ny/
Microwave Repair in Babylon -&gt; /microwave-repair/babylon-ny/
Ice Maker Repair in Babylon -&gt; /ice-maker-repair/babylon-ny/
Wine Cooler Repair in Babylon -&gt; /wine-cooler-repair/babylon-ny/
Garbage Disposal Repair in Babylon -&gt; /garbage-disposal-repair/babylon-ny/
Commercial Appliance Repair in Babylon -&gt; /commercial-appliance-repair/babylon-ny/
Luxury Appliance Repair in Babylon -&gt; /luxury-appliance-repair/babylon-ny/
Appliance Repair Islip -&gt; /appliance-repair-islip-ny/
Service Areas -&gt; /service-areas/
All Services -&gt; /appliance-repair-services/
Contact Us -&gt; /contact/</t>
  </si>
  <si>
    <t xml:space="preserve">Town of Babylon -&gt; https://www.townofbabylon.com/
ENERGY STAR certified products -&gt; https://www.energystar.gov/products</t>
  </si>
  <si>
    <t xml:space="preserve">Patchogue Locations</t>
  </si>
  <si>
    <t xml:space="preserve">Appliance Repair Patchogue</t>
  </si>
  <si>
    <t xml:space="preserve">/appliance-repair-patchogue-ny/</t>
  </si>
  <si>
    <t xml:space="preserve">Appliance Repair Patchogue NY</t>
  </si>
  <si>
    <t xml:space="preserve">Appliance Repair Patchogue, NY | [BUSINESS NAME]</t>
  </si>
  <si>
    <t xml:space="preserve">Local appliance repair in Patchogue, NY for refrigerators, washers, dryers, ovens and more. Upfront quotes. Call [PHONE].</t>
  </si>
  <si>
    <t xml:space="preserve">H1: Appliance Repair in Patchogue, NY
Patchogue is a lively waterfront village with a walkable downtown, surrounded by neighborhoods of single-family homes, condos and apartments. [BUSINESS NAME] repairs the appliances Patchogue households and businesses depend on, including refrigerator, freezer, washing machine, dryer, dishwasher, oven, stove &amp; range, and cooktop and more. Call [PHONE] to book.
H2: Neighborhoods We Serve in Patchogue
We travel to Patchogue Village, East Patchogue, North Patchogue, Blue Point, Bellport, Medford, and Holbrook and surrounding areas.
H2: Appliance Repair Services in Patchogue
H3: Refrigerator Repair in Patchogue
Apartments and condos near downtown often use compact and counter-depth refrigerators, where ventilation and gasket wear are frequent issues. We repair cooling, leaking and noise problems for Patchogue customers.
H3: Freezer Repair in Patchogue
Apartments and condos near downtown often use compact and counter-depth refrigerators, where ventilation and gasket wear are frequent issues. We repair warming, frost buildup and compressor problems for Patchogue customers.
H3: Washing Machine Repair in Patchogue
Condos and multi-unit buildings often use stackable washers and dryers or combo units, which need compact-model parts and careful diagnostics. We repair leaks, drainage and spin problems for Patchogue customers.
H3: Dryer Repair in Patchogue
Condos and multi-unit buildings often use stackable washers and dryers or combo units, which need compact-model parts and careful diagnostics. We repair no-heat, long drying times and noise for Patchogue customers.
H3: Dishwasher Repair in Patchogue
Compact kitchens in apartments and condos use space-saving dishwashers and disposals, where drain issues and leaks can affect neighbors below. We repair leaks, drain issues and cleaning problems for Patchogue customers.
H3: Oven Repair in Patchogue
Smaller downtown kitchens favor slide-in ranges, cooktops and over-the-range microwaves that share tight spaces and heavy use. We repair heating, temperature and door problems for Patchogue customers.
H3: Stove &amp; Range Repair in Patchogue
Smaller downtown kitchens favor slide-in ranges, cooktops and over-the-range microwaves that share tight spaces and heavy use. We repair burner, igniter and oven problems for Patchogue customers.
H3: Cooktop Repair in Patchogue
Smaller downtown kitchens favor slide-in ranges, cooktops and over-the-range microwaves that share tight spaces and heavy use. We repair burner, igniter and induction faults for Patchogue customers.
H3: Microwave Repair in Patchogue
Smaller downtown kitchens favor slide-in ranges, cooktops and over-the-range microwaves that share tight spaces and heavy use. We repair heating, display and door faults for Patchogue customers.
H3: Ice Maker Repair in Patchogue
Apartments and condos near downtown often use compact and counter-depth refrigerators, where ventilation and gasket wear are frequent issues. We repair no ice, slow production and leaks for Patchogue customers.
H3: Wine Cooler Repair in Patchogue
Apartments and condos near downtown often use compact and counter-depth refrigerators, where ventilation and gasket wear are frequent issues. We repair temperature, noise and compressor issues for Patchogue customers.
H3: Garbage Disposal Repair in Patchogue
Compact kitchens in apartments and condos use space-saving dishwashers and disposals, where drain issues and leaks can affect neighbors below. We repair jams, leaks and motor failures for Patchogue customers.
H3: Commercial Appliance Repair in Patchogue
Downtown Patchogue's restaurants, bars and cafes need fast repair of commercial refrigeration, ice machines and cooking equipment. We repair refrigeration, cooking and ice equipment for Patchogue customers.
H3: Luxury Appliance Repair in Patchogue
Waterfront condos and renovated homes around Patchogue and Bellport often include upgraded, built-in kitchen appliances. We repair high-end refrigeration and cooking faults for Patchogue customers.
H2: Why Patchogue Residents Choose [BUSINESS NAME]
Local knowledge, upfront quotes, careful service and a warranty: [INSERT WARRANTY]. We explain the repair before we start and honestly recommend replacement when it makes more sense.
H2: How to Book
Call [PHONE] or use our online form with your Patchogue address, the appliance type and the symptoms.
H2: Frequently Asked Questions
Q: Do you service all of Patchogue?
A: We serve Patchogue Village, East Patchogue, North Patchogue, Blue Point, and Bellport and nearby areas. Contact us to confirm your address.
Q: Can you repair my appliance in Patchogue on the same day?
A: [INSERT SAME-DAY / NEXT-DAY POLICY].
Q: Which appliances do you repair in Patchogue?
A: Refrigerators, freezers, washers, dryers, dishwashers, ovens, stoves, cooktops, microwaves, ice makers, wine coolers, garbage disposals and commercial and luxury appliances.
H2: Book Appliance Repair in Patchogue
Call [PHONE] today.
H2: What Makes Appliance Repair in Patchogue Different
Apartments and condos near downtown often use compact and counter-depth refrigerators, where ventilation and gasket wear are frequent issues. Condos and multi-unit buildings often use stackable washers and dryers or combo units, which need compact-model parts and careful diagnostics. Smaller downtown kitchens favor slide-in ranges, cooktops and over-the-range microwaves that share tight spaces and heavy use. Compact kitchens in apartments and condos use space-saving dishwashers and disposals, where drain issues and leaks can affect neighbors below. Our technicians know these patterns and check the most likely causes first.
H2: What to Expect From Your Appointment
Once you contact us, we confirm your Patchogue address, the appliance and symptoms and offer an appointment window. The technician diagnoses the fault, gives a firm price and waits for your approval. After the repair, we test the appliance and provide paperwork with your warranty: [INSERT WARRANTY].</t>
  </si>
  <si>
    <t xml:space="preserve">Refrigerator Repair in Patchogue -&gt; /refrigerator-repair/patchogue-ny/
Freezer Repair in Patchogue -&gt; /freezer-repair/patchogue-ny/
Washing Machine Repair in Patchogue -&gt; /washer-repair/patchogue-ny/
Dryer Repair in Patchogue -&gt; /dryer-repair/patchogue-ny/
Dishwasher Repair in Patchogue -&gt; /dishwasher-repair/patchogue-ny/
Oven Repair in Patchogue -&gt; /oven-repair/patchogue-ny/
Stove &amp; Range Repair in Patchogue -&gt; /stove-range-repair/patchogue-ny/
Cooktop Repair in Patchogue -&gt; /cooktop-repair/patchogue-ny/
Microwave Repair in Patchogue -&gt; /microwave-repair/patchogue-ny/
Ice Maker Repair in Patchogue -&gt; /ice-maker-repair/patchogue-ny/
Wine Cooler Repair in Patchogue -&gt; /wine-cooler-repair/patchogue-ny/
Garbage Disposal Repair in Patchogue -&gt; /garbage-disposal-repair/patchogue-ny/
Commercial Appliance Repair in Patchogue -&gt; /commercial-appliance-repair/patchogue-ny/
Luxury Appliance Repair in Patchogue -&gt; /luxury-appliance-repair/patchogue-ny/
Appliance Repair Islip -&gt; /appliance-repair-islip-ny/
Service Areas -&gt; /service-areas/
All Services -&gt; /appliance-repair-services/
Contact Us -&gt; /contact/</t>
  </si>
  <si>
    <t xml:space="preserve">Town of Brookhaven -&gt; https://www.brookhavenny.gov/
ENERGY STAR certified products -&gt; https://www.energystar.gov/products</t>
  </si>
  <si>
    <t xml:space="preserve">Brands We Service</t>
  </si>
  <si>
    <t xml:space="preserve">/appliance-brands/</t>
  </si>
  <si>
    <t xml:space="preserve">Appliance Brands We Repair Suffolk County NY</t>
  </si>
  <si>
    <t xml:space="preserve">Appliance Brands We Repair | Suffolk County, NY</t>
  </si>
  <si>
    <t xml:space="preserve">We repair Whirlpool, GE, Samsung, LG, Sub-Zero, Wolf, Viking and more in Suffolk County, NY. Call [PHONE] to book.</t>
  </si>
  <si>
    <t xml:space="preserve">H1: Appliance Brands We Repair in Suffolk County, NY
Our technicians service most major household and commercial brands. Confirm your model when you book and we will let you know whether we can repair it.
H2: Mainstream brands
We repair Whirlpool, GE, Samsung, LG, Frigidaire, Maytag, Kenmore, Amana, Electrolux, and Bosch appliances.
H2: Premium and luxury brands
We repair Sub-Zero, Wolf, Viking, Thermador, Miele, KitchenAid, Jenn-Air, Dacor, Gaggenau, and Fisher &amp; Paykel appliances.
H2: Commercial brands
We repair True, Hoshizaki, Scotsman, Manitowoc, Vulcan, Garland, Hobart, and Turbo Air appliances.
H2: Don't See Your Brand?
Contact us. If we can't service it, we will say so and, where possible, point you in the right direction.
H2: Our Services by Appliance
Browse our service pages for details: Refrigerator Repair, Freezer Repair, Washing Machine Repair, Dryer Repair, Dishwasher Repair, Oven Repair, Stove &amp; Range Repair, Cooktop Repair, Microwave Repair, Ice Maker Repair, Wine Cooler Repair, Garbage Disposal Repair, Commercial Appliance Repair, and Luxury Appliance Repair.
H2: Tips for Booking
Have the model and serial number ready. They are usually on a label inside the door or on the back panel.
H2: Brand-Specific Knowledge
Each manufacturer designs appliances differently, from the control boards used by Samsung and LG to the sealed systems in Sub-Zero refrigerators. Our technicians keep up with common failure points for each major brand so diagnosis is faster and more accurate.
H2: Warranty Considerations
If your appliance is still under manufacturer warranty, check the terms before authorizing a repair. We can tell you whether a repair is likely to be covered. For out-of-warranty appliances, we provide a clear quote and our own repair warranty: [INSERT WARRANTY].
H2: Finding Your Model Number
The model and serial number are normally on a label inside the door frame, on the back panel or inside the drum opening. Taking a photo of the label and sending it with your booking helps us prepare the right parts.
H2: Parts Availability by Brand
Parts availability varies. Mainstream brands usually have quick access to common components, while premium and imported brands can have longer lead times. When a part is not in stock, we explain the wait and your options before ordering, so you are never surprised.
H2: Commercial Equipment Brands
Commercial kitchens rely on durable equipment from specialist manufacturers. We service refrigeration, ice, cooking and warewashing equipment from the commercial brands listed above. Tell us the make and model when you call so we can bring the right tools.</t>
  </si>
  <si>
    <t xml:space="preserve">Refrigerator Repair -&gt; /refrigerator-repair/
Freezer Repair -&gt; /freezer-repair/
Washing Machine Repair -&gt; /washer-repair/
Dryer Repair -&gt; /dryer-repair/
Dishwasher Repair -&gt; /dishwasher-repair/
Oven Repair -&gt; /oven-repair/
Stove &amp; Range Repair -&gt; /stove-range-repair/
Cooktop Repair -&gt; /cooktop-repair/
Microwave Repair -&gt; /microwave-repair/
Ice Maker Repair -&gt; /ice-maker-repair/
Wine Cooler Repair -&gt; /wine-cooler-repair/
Garbage Disposal Repair -&gt; /garbage-disposal-repair/
Commercial Appliance Repair -&gt; /commercial-appliance-repair/
Luxury Appliance Repair -&gt; /luxury-appliance-repair/
Contact Us -&gt; /contact/</t>
  </si>
  <si>
    <t xml:space="preserve">Locations Hub</t>
  </si>
  <si>
    <t xml:space="preserve">Service Areas</t>
  </si>
  <si>
    <t xml:space="preserve">/service-areas/</t>
  </si>
  <si>
    <t xml:space="preserve">Appliance Repair Service Areas Suffolk County NY</t>
  </si>
  <si>
    <t xml:space="preserve">Appliance Repair Service Areas | Suffolk County, NY</t>
  </si>
  <si>
    <t xml:space="preserve">We repair appliances in Huntington, Smithtown, Islip, Babylon, Patchogue and nearby Suffolk County towns. Call [PHONE].</t>
  </si>
  <si>
    <t xml:space="preserve">H1: Appliance Repair Service Areas in Suffolk County, NY
[BUSINESS NAME] provides appliance repair across Suffolk County. Choose your town to see local information and every service we provide there.
H2: Huntington, NY
Huntington blends a walkable historic village with established North Shore neighborhoods, many of them with older kitchens, finished basements and a mix of classic and high-end appliances. Neighborhoods we serve include Huntington Village, Huntington Station, Greenlawn, Halesite, Cold Spring Harbor, Melville, South Huntington, and Dix Hills.
H2: Smithtown, NY
Smithtown is largely suburban, with family-sized homes, busy kitchens and households that run several appliances every single day. Neighborhoods we serve include Smithtown, Kings Park, St. James, Nesconset, Hauppauge, Fort Salonga, and Head of the Harbor.
H2: Islip, NY
Islip stretches across the South Shore, from waterfront communities near the Great South Bay to inland neighborhoods, with a wide mix of single-family homes, condos and rentals. Neighborhoods we serve include Islip, East Islip, Islip Terrace, Bay Shore, Brentwood, Central Islip, Sayville, and Great River.
H2: Babylon, NY
The Town of Babylon covers busy South Shore villages and hamlets with a large share of well-kept single-family homes, plus apartments and rental units. Neighborhoods we serve include Babylon Village, Lindenhurst, Copiague, West Babylon, North Babylon, Deer Park, and Wyandanch.
H2: Patchogue, NY
Patchogue is a lively waterfront village with a walkable downtown, surrounded by neighborhoods of single-family homes, condos and apartments. Neighborhoods we serve include Patchogue Village, East Patchogue, North Patchogue, Blue Point, Bellport, Medford, and Holbrook.
H2: Don't See Your Town?
We may still serve you. Contact us with your address and we will confirm.
H2: Why Local Service Matters
Local technicians know Suffolk County homes and traffic, can reach you faster and are accountable to the community they serve. Our service area pages describe the neighborhoods we cover and the appliance problems typical of each.
H2: How We Schedule
We group appointments by area, so each town has regular service windows. When you book, tell us your address and we will offer the nearest available slot. [INSERT YOUR SCHEDULING POLICY.]
H2: Commercial Service Areas
We also serve restaurants, delis and shops across these towns. Contact us for commercial refrigeration, ice machines and cooking equipment repair.
H2: Typical Appliances by Area
Homes and businesses differ across Suffolk County. North Shore homes often include larger, built-in kitchens; South Shore towns include many condos, rentals and waterfront properties; downtown areas include small-footprint kitchens and restaurants. Our town pages describe these local patterns and the repairs we handle most often.
H2: Expanding Our Coverage
We add service areas as we grow. If you live outside the towns listed, send us your zip code. [INSERT YOUR COVERAGE POLICY OR TRAVEL FEES, IF ANY.]</t>
  </si>
  <si>
    <t xml:space="preserve">Appliance Repair Huntington -&gt; /appliance-repair-huntington-ny/
Appliance Repair Smithtown -&gt; /appliance-repair-smithtown-ny/
Appliance Repair Islip -&gt; /appliance-repair-islip-ny/
Appliance Repair Babylon -&gt; /appliance-repair-babylon-ny/
Appliance Repair Patchogue -&gt; /appliance-repair-patchogue-ny/
All Services -&gt; /appliance-repair-services/
Contact Us -&gt; /contact/</t>
  </si>
  <si>
    <t xml:space="preserve">Town of Huntington -&gt; https://www.huntingtonny.gov/</t>
  </si>
  <si>
    <t xml:space="preserve">LocalBusiness (areaServed)</t>
  </si>
  <si>
    <t xml:space="preserve">Reviews</t>
  </si>
  <si>
    <t xml:space="preserve">/reviews/</t>
  </si>
  <si>
    <t xml:space="preserve">Appliance Repair Reviews Suffolk County NY</t>
  </si>
  <si>
    <t xml:space="preserve">Appliance Repair Reviews | Suffolk County, NY</t>
  </si>
  <si>
    <t xml:space="preserve">Read genuine reviews from Suffolk County customers about our appliance repair, then call for honest advice and upfront quotes.</t>
  </si>
  <si>
    <t xml:space="preserve">H1: Customer Reviews | Appliance Repair in Suffolk County
Hear what Suffolk County customers say about our service. [DISPLAY ONLY REAL REVIEWS FROM GENUINE CUSTOMERS, WITH PERMISSION AND ACCURATE ATTRIBUTION. DO NOT PUBLISH INVENTED TESTIMONIALS.]
H2: Google Reviews
[EMBED YOUR GOOGLE BUSINESS PROFILE REVIEWS HERE.]
H2: Why Reviews Matter
Reviews help you choose a technician you can trust. We encourage honest feedback after every job.
H2: Leave a Review
[INSERT YOUR GOOGLE REVIEW LINK.]
H2: Our Commitment
We reply to every review and use feedback to improve.
H2: How We Collect Reviews
After every completed job, we invite customers to share honest feedback on Google. We never edit or invent reviews, and we publish them with the customer's permission.
H2: What Customers Value
When collecting real reviews, look for themes such as punctuality, clear pricing, tidy work and repairs that lasted. Highlight these themes in your content using real quotes.
H2: Reviews by Service
Once you have enough genuine reviews, group them on each service page, for example refrigerator or washer repair, to add relevant social proof to those pages.
H2: Responding to Feedback
We read every review. Positive feedback tells us what to keep doing, and criticism tells us where to improve. If something went wrong, contact us directly and we will work to resolve it.
H2: Tips for Customers Leaving a Review
Mention the appliance and town, what the problem was and how the repair went. Specific details help other Suffolk County homeowners decide whether we are the right fit.
H2: Reviews for Each Service
Customers often search for feedback on a specific repair, such as refrigerator, washer, dryer or dishwasher service. When you have real reviews, add the most relevant ones to each service page and link them back here. [INSERT REAL REVIEWS ONLY.]
H2: Our Service Standards
Every review is measured against the same promises we make on every job: honest diagnosis, an upfront written quote, careful work in your home, a tested repair and a warranty: [INSERT WARRANTY]. If we fall short, we want to hear about it and put it right.</t>
  </si>
  <si>
    <t xml:space="preserve">All Services -&gt; /appliance-repair-services/
Contact Us -&gt; /contact/
About Us -&gt; /about-us/</t>
  </si>
  <si>
    <t xml:space="preserve">Review / AggregateRating (real reviews only)</t>
  </si>
  <si>
    <t xml:space="preserve">Blog</t>
  </si>
  <si>
    <t xml:space="preserve">/blog/</t>
  </si>
  <si>
    <t xml:space="preserve">Appliance Repair Tips Suffolk County NY</t>
  </si>
  <si>
    <t xml:space="preserve">Appliance Repair Tips &amp; Troubleshooting | Suffolk County</t>
  </si>
  <si>
    <t xml:space="preserve">Troubleshooting guides and maintenance tips from Suffolk County appliance repair technicians. Fix small issues and know when to call.</t>
  </si>
  <si>
    <t xml:space="preserve">H1: Appliance Repair Tips &amp; Troubleshooting | Suffolk County
Practical advice from our technicians on diagnosing problems, maintaining appliances and deciding between repair and replacement. Each article links to the relevant service page.
H2: Latest Articles
[AUTO-LIST LATEST POSTS. See the 'Blog Topics' sheet for 14 recommended articles.]
H2: Browse by Appliance
Refrigerator Repair, Freezer Repair, Washing Machine Repair, Dryer Repair, Dishwasher Repair, Oven Repair, Stove &amp; Range Repair, Cooktop Repair, Microwave Repair, Ice Maker Repair, Wine Cooler Repair, Garbage Disposal Repair, Commercial Appliance Repair, and Luxury Appliance Repair.
H2: Need Help Now?
Call [PHONE] to schedule a repair.
H2: Recommended Article Topics
- Why Your Refrigerator Is Not Cooling: 7 Common Causes (links to /refrigerator-repair/)
- Why Is My Freezer Frosting Up? Causes and Fixes (links to /freezer-repair/)
- Washing Machine Not Draining? Check These Things First (links to /washer-repair/)
- Why a Dryer Takes Too Long to Dry (and When It Is a Fire Risk) (links to /dryer-repair/)
- Dishwasher Not Cleaning Dishes? Common Causes (links to /dishwasher-repair/)
- Oven Not Heating Evenly: What Technicians Check (links to /oven-repair/)
- Gas Stove Burner Clicking or Won't Light: Causes (links to /stove-range-repair/)
- Induction vs Radiant vs Gas Cooktops: Repair Considerations (links to /cooktop-repair/)
- Microwave Sparking: Is It Safe to Keep Using? (links to /microwave-repair/)
- Refrigerator Ice Maker Not Working: Troubleshooting Guide (links to /ice-maker-repair/)
- How to Protect a Wine Collection When Your Wine Cooler Fails (links to /wine-cooler-repair/)
- Garbage Disposal Humming but Not Spinning: What to Do (links to /garbage-disposal-repair/)
- Restaurant Equipment Maintenance Checklist for Long Island Kitchens (links to /commercial-appliance-repair/)
- Is It Worth Repairing a High-End Appliance? (links to /luxury-appliance-repair/)
H2: Why We Share Advice
Helpful troubleshooting guidance builds trust and shows homeowners what to check before they call. When a problem needs a technician, each article points to the right service page.
H2: How to Use Our Guides
Start with the guide that matches your symptom, run through the quick checks, and call us if the problem remains. Each article ends with a link to the matching service page and a way to book.
H2: Seasonal Maintenance Checklist
Spring: clean refrigerator coils and check door seals. Summer: make sure ice makers and freezers hold temperature in the heat. Fall: have dryer vents cleaned before heavy indoor laundry season. Winter: check ovens and ranges before holiday cooking. Following a simple seasonal routine helps Suffolk County homeowners avoid breakdowns when appliances are working hardest.</t>
  </si>
  <si>
    <t xml:space="preserve">Refrigerator Repair -&gt; /refrigerator-repair/
Freezer Repair -&gt; /freezer-repair/
Washing Machine Repair -&gt; /washer-repair/
Dryer Repair -&gt; /dryer-repair/
Dishwasher Repair -&gt; /dishwasher-repair/
Oven Repair -&gt; /oven-repair/
Stove &amp; Range Repair -&gt; /stove-range-repair/
Cooktop Repair -&gt; /cooktop-repair/
Contact Us -&gt; /contact/</t>
  </si>
  <si>
    <t xml:space="preserve">Blog / CollectionPage</t>
  </si>
  <si>
    <t xml:space="preserve">Refrigerator Repair Huntington</t>
  </si>
  <si>
    <t xml:space="preserve">/refrigerator-repair/huntington-ny/</t>
  </si>
  <si>
    <t xml:space="preserve">Refrigerator Repair Huntington NY</t>
  </si>
  <si>
    <t xml:space="preserve">Refrigerator Repair Huntington, NY | Local Technicians</t>
  </si>
  <si>
    <t xml:space="preserve">Looking for refrigerator repair in Huntington, NY? Local technicians fix cooling, leaking and noise problems. Upfront quotes. Call [PHONE].</t>
  </si>
  <si>
    <t xml:space="preserve">H1: Refrigerator Repair in Huntington, NY
Huntington blends a walkable historic village with established North Shore neighborhoods, many of them with older kitchens, finished basements and a mix of classic and high-end appliances. When your refrigerator fails, you need a technician who understands local homes and gets the job done right the first time. [BUSINESS NAME] provides refrigerator repair in Huntington and nearby neighborhoods, covering cooling, leaking and noise problems for homeowners, renters and property managers.
Larger North Shore homes often run a main refrigerator plus a basement freezer or beverage fridge, so units get heavy use and can age unnoticed until they fail. That is why Huntington residents often call us for refrigerator problems before they turn into costly breakdowns. Call [PHONE] or book online and we will arrange an appointment at your Huntington address.
H2: Refrigerator Repair Throughout Huntington
Our technicians travel to homes and businesses across Huntington, including Huntington Village, Huntington Station, Greenlawn, Halesite, Cold Spring Harbor, Melville, South Huntington, and Dix Hills. Wherever you are located, we bring tools and common parts for most refrigerator repairs to the first visit.
H2: Common Refrigerator Problems We Fix in Huntington
H3: Not cooling or too warm
Often caused by a failed evaporator fan motor, a dirty condenser coil, a faulty defrost system or a sealed-system issue.
H3: Freezer works but the fridge section is warm
Usually points to a blocked air damper, a failed evaporator fan or a frozen evaporator coil restricting airflow.
H3: Water leaking onto the floor
Typically a clogged defrost drain, a cracked water line or a failed inlet valve on models with a water dispenser.
H3: Loud buzzing, clicking or rattling
Fan motors wearing out, or a compressor start relay that clicks repeatedly without starting the compressor.
H3: Frost or ice buildup
Suggests a failed defrost heater, defrost thermostat or control board interrupting the defrost cycle.
H3: Running constantly
Dirty condenser coils, a worn door gasket or a failing temperature sensor can keep the compressor running non-stop.
H2: How Huntington Homeowners Can Get the Most From Their Refrigerator
- Vacuum the condenser coils every six to twelve months.
- Keep the refrigerator near 37 to 40°F and the freezer at 0°F.
- Test the door gasket by closing a dollar bill in the door; it should resist being pulled out.
- Leave a few inches of clearance behind and above the unit for airflow.
H2: Our Repair Process in Huntington
Our technician checks temperatures, airflow, coils, fans, gaskets and the defrost system, explains the cause in plain language and gives a clear price before starting. Common replacement parts are often carried on the service vehicle, so many repairs can be finished in a single visit.
1. Call or book online and describe the problem with your refrigerator.
2. We confirm your Huntington address and schedule an appointment window.
3. The technician diagnoses the fault and gives a firm quote.
4. With your approval, we repair and test the appliance.
5. You receive an invoice and warranty details: [INSERT WARRANTY].
H2: Brands We Service in Huntington
We repair refrigerator models from Whirlpool, GE, Samsung, LG, Frigidaire, KitchenAid, Maytag, Bosch, Sub-Zero, Viking, Thermador, and Electrolux and more for customers in Huntington. If you are unsure about your model, send us the model number and we will confirm we can help.
H2: Repair or Replace? Advice for Huntington Residents
If the unit is 12 to 15 years old and needs a sealed-system repair, replacement is often more economical. For newer units, or for parts such as fans, sensors and defrost components, repair usually makes more sense.
H2: Why Huntington Customers Choose [BUSINESS NAME]
As a Suffolk County company, we know the area and the homes in it. We provide upfront quotes, treat your home with care and explain the problem clearly. Licensing and insurance: [INSERT DETAILS]. Customers in Huntington call us because we respect their time and their budget.
H2: Refrigerator Repair FAQs for Huntington
Q: Do you provide refrigerator repair in Huntington?
A: Yes. We serve Huntington and nearby areas including Huntington Village, Huntington Station, Greenlawn, and Halesite. Contact us to confirm availability for your address.
Q: How soon can you come to Huntington for refrigerator repair?
A: Availability varies by day. [INSERT YOUR SAME-DAY / NEXT-DAY POLICY]. We will offer the earliest window we have.
Q: How much does refrigerator repair cost in Huntington?
A: We diagnose the issue first and give a written price before starting, so there are no surprises. [INSERT DIAGNOSTIC FEE POLICY].
Q: How long is food safe if my refrigerator stops cooling?
A: Food safety guidance says a closed refrigerator keeps food cold for about four hours during a power outage. If your unit is simply not cooling, call promptly and move perishables to a cooler.
Q: Is it worth repairing a refrigerator?
A: In most cases repair is worthwhile when the unit is under about ten years old and the fault is a fan, sensor, relay or defrost part. We will tell you honestly if replacement is the better value.
H2: Book Refrigerator Repair in Huntington Today
Call [PHONE] or request service online. Our team will get your refrigerator working again.</t>
  </si>
  <si>
    <t xml:space="preserve">Refrigerator Repair Suffolk County -&gt; /refrigerator-repair/
Appliance Repair Huntington -&gt; /appliance-repair-huntington-ny/
Refrigerator Repair in Smithtown, NY -&gt; /refrigerator-repair/smithtown-ny/
Freezer Repair in Huntington -&gt; /freezer-repair/huntington-ny/
Ice Maker Repair in Huntington -&gt; /ice-maker-repair/huntington-ny/
Contact Us -&gt; /contact/</t>
  </si>
  <si>
    <t xml:space="preserve">Town of Huntington -&gt; https://www.huntingtonny.gov/
FoodSafety.gov refrigerator and freezer guidance -&gt; https://www.foodsafety.gov/</t>
  </si>
  <si>
    <t xml:space="preserve">Service (areaServed: Huntington)</t>
  </si>
  <si>
    <t xml:space="preserve">Refrigerator Repair Smithtown</t>
  </si>
  <si>
    <t xml:space="preserve">/refrigerator-repair/smithtown-ny/</t>
  </si>
  <si>
    <t xml:space="preserve">Refrigerator Repair Smithtown NY</t>
  </si>
  <si>
    <t xml:space="preserve">Refrigerator Repair Smithtown, NY | Local Technicians</t>
  </si>
  <si>
    <t xml:space="preserve">Looking for refrigerator repair in Smithtown, NY? Local technicians fix cooling, leaking and noise problems. Upfront quotes. Call [PHONE].</t>
  </si>
  <si>
    <t xml:space="preserve">H1: Refrigerator Repair in Smithtown, NY
Smithtown is largely suburban, with family-sized homes, busy kitchens and households that run several appliances every single day. When your refrigerator fails, you need a technician who understands local homes and gets the job done right the first time. [BUSINESS NAME] provides refrigerator repair in Smithtown and nearby neighborhoods, covering cooling, leaking and noise problems for homeowners, renters and property managers.
Larger family households mean refrigerators and garage or basement freezers work hard year-round, especially around holidays and summer gatherings. That is why Smithtown residents often call us for refrigerator problems before they turn into costly breakdowns. Call [PHONE] or book online and we will arrange an appointment at your Smithtown address.
H2: Refrigerator Repair Throughout Smithtown
Our technicians travel to homes and businesses across Smithtown, including Smithtown, Kings Park, St. James, Nesconset, Hauppauge, Fort Salonga, and Head of the Harbor. Wherever you are located, we bring tools and common parts for most refrigerator repairs to the first visit.
H2: Common Refrigerator Problems We Fix in Smithtown
H3: Not cooling or too warm
Often caused by a failed evaporator fan motor, a dirty condenser coil, a faulty defrost system or a sealed-system issue.
H3: Freezer works but the fridge section is warm
Usually points to a blocked air damper, a failed evaporator fan or a frozen evaporator coil restricting airflow.
H3: Water leaking onto the floor
Typically a clogged defrost drain, a cracked water line or a failed inlet valve on models with a water dispenser.
H3: Loud buzzing, clicking or rattling
Fan motors wearing out, or a compressor start relay that clicks repeatedly without starting the compressor.
H3: Frost or ice buildup
Suggests a failed defrost heater, defrost thermostat or control board interrupting the defrost cycle.
H3: Running constantly
Dirty condenser coils, a worn door gasket or a failing temperature sensor can keep the compressor running non-stop.
H2: How Smithtown Homeowners Can Get the Most From Their Refrigerator
- Vacuum the condenser coils every six to twelve months.
- Keep the refrigerator near 37 to 40°F and the freezer at 0°F.
- Test the door gasket by closing a dollar bill in the door; it should resist being pulled out.
- Leave a few inches of clearance behind and above the unit for airflow.
H2: Our Repair Process in Smithtown
Our technician checks temperatures, airflow, coils, fans, gaskets and the defrost system, explains the cause in plain language and gives a clear price before starting. Common replacement parts are often carried on the service vehicle, so many repairs can be finished in a single visit.
1. Call or book online and describe the problem with your refrigerator.
2. We confirm your Smithtown address and schedule an appointment window.
3. The technician diagnoses the fault and gives a firm quote.
4. With your approval, we repair and test the appliance.
5. You receive an invoice and warranty details: [INSERT WARRANTY].
H2: Brands We Service in Smithtown
We repair refrigerator models from Whirlpool, GE, Samsung, LG, Frigidaire, KitchenAid, Maytag, Bosch, Sub-Zero, Viking, Thermador, and Electrolux and more for customers in Smithtown. If you are unsure about your model, send us the model number and we will confirm we can help.
H2: Repair or Replace? Advice for Smithtown Residents
If the unit is 12 to 15 years old and needs a sealed-system repair, replacement is often more economical. For newer units, or for parts such as fans, sensors and defrost components, repair usually makes more sense.
H2: Why Smithtown Customers Choose [BUSINESS NAME]
As a Suffolk County company, we know the area and the homes in it. We provide upfront quotes, treat your home with care and explain the problem clearly. Licensing and insurance: [INSERT DETAILS]. Customers in Smithtown call us because we respect their time and their budget.
H2: Refrigerator Repair FAQs for Smithtown
Q: Do you provide refrigerator repair in Smithtown?
A: Yes. We serve Smithtown and nearby areas including Smithtown, Kings Park, St. James, and Nesconset. Contact us to confirm availability for your address.
Q: How soon can you come to Smithtown for refrigerator repair?
A: Availability varies by day. [INSERT YOUR SAME-DAY / NEXT-DAY POLICY]. We will offer the earliest window we have.
Q: How much does refrigerator repair cost in Smithtown?
A: We diagnose the issue first and give a written price before starting, so there are no surprises. [INSERT DIAGNOSTIC FEE POLICY].
Q: How long is food safe if my refrigerator stops cooling?
A: Food safety guidance says a closed refrigerator keeps food cold for about four hours during a power outage. If your unit is simply not cooling, call promptly and move perishables to a cooler.
Q: Is it worth repairing a refrigerator?
A: In most cases repair is worthwhile when the unit is under about ten years old and the fault is a fan, sensor, relay or defrost part. We will tell you honestly if replacement is the better value.
H2: Book Refrigerator Repair in Smithtown Today
Call [PHONE] or request service online. Our team will get your refrigerator working again.
H2: Preparing for Your Smithtown Service Visit
A few simple steps help the technician work faster. Clear the area around your refrigerator so there is room to work, note when the problem started and any error codes, and keep the model number handy. If the appliance is leaking, switch off its power and water supply where it is safe to do so. For apartment and condo buildings in Smithtown, let us know about parking, access or building rules in advance so your appointment runs smoothly.</t>
  </si>
  <si>
    <t xml:space="preserve">Refrigerator Repair Suffolk County -&gt; /refrigerator-repair/
Appliance Repair Smithtown -&gt; /appliance-repair-smithtown-ny/
Refrigerator Repair in Huntington, NY -&gt; /refrigerator-repair/huntington-ny/
Refrigerator Repair in Islip, NY -&gt; /refrigerator-repair/islip-ny/
Freezer Repair in Smithtown -&gt; /freezer-repair/smithtown-ny/
Ice Maker Repair in Smithtown -&gt; /ice-maker-repair/smithtown-ny/
Contact Us -&gt; /contact/</t>
  </si>
  <si>
    <t xml:space="preserve">Town of Smithtown -&gt; https://www.smithtownny.gov/
FoodSafety.gov refrigerator and freezer guidance -&gt; https://www.foodsafety.gov/</t>
  </si>
  <si>
    <t xml:space="preserve">Service (areaServed: Smithtown)</t>
  </si>
  <si>
    <t xml:space="preserve">Refrigerator Repair Islip</t>
  </si>
  <si>
    <t xml:space="preserve">/refrigerator-repair/islip-ny/</t>
  </si>
  <si>
    <t xml:space="preserve">Refrigerator Repair Islip NY</t>
  </si>
  <si>
    <t xml:space="preserve">Refrigerator Repair Islip, NY | Local Technicians</t>
  </si>
  <si>
    <t xml:space="preserve">Looking for refrigerator repair in Islip, NY? Local technicians fix cooling, leaking and noise problems. Upfront quotes. Call [PHONE].</t>
  </si>
  <si>
    <t xml:space="preserve">H1: Refrigerator Repair in Islip, NY
Islip stretches across the South Shore, from waterfront communities near the Great South Bay to inland neighborhoods, with a wide mix of single-family homes, condos and rentals. When your refrigerator fails, you need a technician who understands local homes and gets the job done right the first time. [BUSINESS NAME] provides refrigerator repair in Islip and nearby neighborhoods, covering cooling, leaking and noise problems for homeowners, renters and property managers.
Humid South Shore summers make refrigerators and freezers work harder, and dirty condenser coils are a common reason units run constantly. That is why Islip residents often call us for refrigerator problems before they turn into costly breakdowns. Call [PHONE] or book online and we will arrange an appointment at your Islip address.
H2: Refrigerator Repair Throughout Islip
Our technicians travel to homes and businesses across Islip, including Islip, East Islip, Islip Terrace, Bay Shore, Brentwood, Central Islip, Sayville, and Great River. Wherever you are located, we bring tools and common parts for most refrigerator repairs to the first visit.
H2: Common Refrigerator Problems We Fix in Islip
H3: Not cooling or too warm
Often caused by a failed evaporator fan motor, a dirty condenser coil, a faulty defrost system or a sealed-system issue.
H3: Freezer works but the fridge section is warm
Usually points to a blocked air damper, a failed evaporator fan or a frozen evaporator coil restricting airflow.
H3: Water leaking onto the floor
Typically a clogged defrost drain, a cracked water line or a failed inlet valve on models with a water dispenser.
H3: Loud buzzing, clicking or rattling
Fan motors wearing out, or a compressor start relay that clicks repeatedly without starting the compressor.
H3: Frost or ice buildup
Suggests a failed defrost heater, defrost thermostat or control board interrupting the defrost cycle.
H3: Running constantly
Dirty condenser coils, a worn door gasket or a failing temperature sensor can keep the compressor running non-stop.
H2: How Islip Homeowners Can Get the Most From Their Refrigerator
- Vacuum the condenser coils every six to twelve months.
- Keep the refrigerator near 37 to 40°F and the freezer at 0°F.
- Test the door gasket by closing a dollar bill in the door; it should resist being pulled out.
- Leave a few inches of clearance behind and above the unit for airflow.
H2: Our Repair Process in Islip
Our technician checks temperatures, airflow, coils, fans, gaskets and the defrost system, explains the cause in plain language and gives a clear price before starting. Common replacement parts are often carried on the service vehicle, so many repairs can be finished in a single visit.
1. Call or book online and describe the problem with your refrigerator.
2. We confirm your Islip address and schedule an appointment window.
3. The technician diagnoses the fault and gives a firm quote.
4. With your approval, we repair and test the appliance.
5. You receive an invoice and warranty details: [INSERT WARRANTY].
H2: Brands We Service in Islip
We repair refrigerator models from Whirlpool, GE, Samsung, LG, Frigidaire, KitchenAid, Maytag, Bosch, Sub-Zero, Viking, Thermador, and Electrolux and more for customers in Islip. If you are unsure about your model, send us the model number and we will confirm we can help.
H2: Repair or Replace? Advice for Islip Residents
If the unit is 12 to 15 years old and needs a sealed-system repair, replacement is often more economical. For newer units, or for parts such as fans, sensors and defrost components, repair usually makes more sense.
H2: Why Islip Customers Choose [BUSINESS NAME]
As a Suffolk County company, we know the area and the homes in it. We provide upfront quotes, treat your home with care and explain the problem clearly. Licensing and insurance: [INSERT DETAILS]. Customers in Islip call us because we respect their time and their budget.
H2: Refrigerator Repair FAQs for Islip
Q: Do you provide refrigerator repair in Islip?
A: Yes. We serve Islip and nearby areas including Islip, East Islip, Islip Terrace, and Bay Shore. Contact us to confirm availability for your address.
Q: How soon can you come to Islip for refrigerator repair?
A: Availability varies by day. [INSERT YOUR SAME-DAY / NEXT-DAY POLICY]. We will offer the earliest window we have.
Q: How much does refrigerator repair cost in Islip?
A: We diagnose the issue first and give a written price before starting, so there are no surprises. [INSERT DIAGNOSTIC FEE POLICY].
Q: How long is food safe if my refrigerator stops cooling?
A: Food safety guidance says a closed refrigerator keeps food cold for about four hours during a power outage. If your unit is simply not cooling, call promptly and move perishables to a cooler.
Q: Is it worth repairing a refrigerator?
A: In most cases repair is worthwhile when the unit is under about ten years old and the fault is a fan, sensor, relay or defrost part. We will tell you honestly if replacement is the better value.
H2: Book Refrigerator Repair in Islip Today
Call [PHONE] or request service online. Our team will get your refrigerator working again.</t>
  </si>
  <si>
    <t xml:space="preserve">Refrigerator Repair Suffolk County -&gt; /refrigerator-repair/
Appliance Repair Islip -&gt; /appliance-repair-islip-ny/
Refrigerator Repair in Babylon, NY -&gt; /refrigerator-repair/babylon-ny/
Refrigerator Repair in Patchogue, NY -&gt; /refrigerator-repair/patchogue-ny/
Freezer Repair in Islip -&gt; /freezer-repair/islip-ny/
Ice Maker Repair in Islip -&gt; /ice-maker-repair/islip-ny/
Contact Us -&gt; /contact/</t>
  </si>
  <si>
    <t xml:space="preserve">Town of Islip -&gt; https://www.islipny.gov/
FoodSafety.gov refrigerator and freezer guidance -&gt; https://www.foodsafety.gov/</t>
  </si>
  <si>
    <t xml:space="preserve">Service (areaServed: Islip)</t>
  </si>
  <si>
    <t xml:space="preserve">Refrigerator Repair Babylon</t>
  </si>
  <si>
    <t xml:space="preserve">/refrigerator-repair/babylon-ny/</t>
  </si>
  <si>
    <t xml:space="preserve">Refrigerator Repair Babylon NY</t>
  </si>
  <si>
    <t xml:space="preserve">Refrigerator Repair Babylon, NY | Local Technicians</t>
  </si>
  <si>
    <t xml:space="preserve">Looking for refrigerator repair in Babylon, NY? Local technicians fix cooling, leaking and noise problems. Upfront quotes. Call [PHONE].</t>
  </si>
  <si>
    <t xml:space="preserve">H1: Refrigerator Repair in Babylon, NY
The Town of Babylon covers busy South Shore villages and hamlets with a large share of well-kept single-family homes, plus apartments and rental units. When your refrigerator fails, you need a technician who understands local homes and gets the job done right the first time. [BUSINESS NAME] provides refrigerator repair in Babylon and nearby neighborhoods, covering cooling, leaking and noise problems for homeowners, renters and property managers.
In older and smaller homes, refrigerators are often tucked into tight spaces with little ventilation, causing overheating and extra compressor strain. That is why Babylon residents often call us for refrigerator problems before they turn into costly breakdowns. Call [PHONE] or book online and we will arrange an appointment at your Babylon address.
H2: Refrigerator Repair Throughout Babylon
Our technicians travel to homes and businesses across Babylon, including Babylon Village, Lindenhurst, Copiague, West Babylon, North Babylon, Deer Park, and Wyandanch. Wherever you are located, we bring tools and common parts for most refrigerator repairs to the first visit.
H2: Common Refrigerator Problems We Fix in Babylon
H3: Not cooling or too warm
Often caused by a failed evaporator fan motor, a dirty condenser coil, a faulty defrost system or a sealed-system issue.
H3: Freezer works but the fridge section is warm
Usually points to a blocked air damper, a failed evaporator fan or a frozen evaporator coil restricting airflow.
H3: Water leaking onto the floor
Typically a clogged defrost drain, a cracked water line or a failed inlet valve on models with a water dispenser.
H3: Loud buzzing, clicking or rattling
Fan motors wearing out, or a compressor start relay that clicks repeatedly without starting the compressor.
H3: Frost or ice buildup
Suggests a failed defrost heater, defrost thermostat or control board interrupting the defrost cycle.
H3: Running constantly
Dirty condenser coils, a worn door gasket or a failing temperature sensor can keep the compressor running non-stop.
H2: How Babylon Homeowners Can Get the Most From Their Refrigerator
- Vacuum the condenser coils every six to twelve months.
- Keep the refrigerator near 37 to 40°F and the freezer at 0°F.
- Test the door gasket by closing a dollar bill in the door; it should resist being pulled out.
- Leave a few inches of clearance behind and above the unit for airflow.
H2: Our Repair Process in Babylon
Our technician checks temperatures, airflow, coils, fans, gaskets and the defrost system, explains the cause in plain language and gives a clear price before starting. Common replacement parts are often carried on the service vehicle, so many repairs can be finished in a single visit.
1. Call or book online and describe the problem with your refrigerator.
2. We confirm your Babylon address and schedule an appointment window.
3. The technician diagnoses the fault and gives a firm quote.
4. With your approval, we repair and test the appliance.
5. You receive an invoice and warranty details: [INSERT WARRANTY].
H2: Brands We Service in Babylon
We repair refrigerator models from Whirlpool, GE, Samsung, LG, Frigidaire, KitchenAid, Maytag, Bosch, Sub-Zero, Viking, Thermador, and Electrolux and more for customers in Babylon. If you are unsure about your model, send us the model number and we will confirm we can help.
H2: Repair or Replace? Advice for Babylon Residents
If the unit is 12 to 15 years old and needs a sealed-system repair, replacement is often more economical. For newer units, or for parts such as fans, sensors and defrost components, repair usually makes more sense.
H2: Why Babylon Customers Choose [BUSINESS NAME]
As a Suffolk County company, we know the area and the homes in it. We provide upfront quotes, treat your home with care and explain the problem clearly. Licensing and insurance: [INSERT DETAILS]. Customers in Babylon call us because we respect their time and their budget.
H2: Refrigerator Repair FAQs for Babylon
Q: Do you provide refrigerator repair in Babylon?
A: Yes. We serve Babylon and nearby areas including Babylon Village, Lindenhurst, Copiague, and West Babylon. Contact us to confirm availability for your address.
Q: How soon can you come to Babylon for refrigerator repair?
A: Availability varies by day. [INSERT YOUR SAME-DAY / NEXT-DAY POLICY]. We will offer the earliest window we have.
Q: How much does refrigerator repair cost in Babylon?
A: We diagnose the issue first and give a written price before starting, so there are no surprises. [INSERT DIAGNOSTIC FEE POLICY].
Q: How long is food safe if my refrigerator stops cooling?
A: Food safety guidance says a closed refrigerator keeps food cold for about four hours during a power outage. If your unit is simply not cooling, call promptly and move perishables to a cooler.
Q: Is it worth repairing a refrigerator?
A: In most cases repair is worthwhile when the unit is under about ten years old and the fault is a fan, sensor, relay or defrost part. We will tell you honestly if replacement is the better value.
H2: Book Refrigerator Repair in Babylon Today
Call [PHONE] or request service online. Our team will get your refrigerator working again.</t>
  </si>
  <si>
    <t xml:space="preserve">Refrigerator Repair Suffolk County -&gt; /refrigerator-repair/
Appliance Repair Babylon -&gt; /appliance-repair-babylon-ny/
Refrigerator Repair in Islip, NY -&gt; /refrigerator-repair/islip-ny/
Freezer Repair in Babylon -&gt; /freezer-repair/babylon-ny/
Ice Maker Repair in Babylon -&gt; /ice-maker-repair/babylon-ny/
Contact Us -&gt; /contact/</t>
  </si>
  <si>
    <t xml:space="preserve">Town of Babylon -&gt; https://www.townofbabylon.com/
FoodSafety.gov refrigerator and freezer guidance -&gt; https://www.foodsafety.gov/</t>
  </si>
  <si>
    <t xml:space="preserve">Service (areaServed: Babylon)</t>
  </si>
  <si>
    <t xml:space="preserve">Refrigerator Repair Patchogue</t>
  </si>
  <si>
    <t xml:space="preserve">/refrigerator-repair/patchogue-ny/</t>
  </si>
  <si>
    <t xml:space="preserve">Refrigerator Repair Patchogue NY</t>
  </si>
  <si>
    <t xml:space="preserve">Refrigerator Repair Patchogue, NY | Local Technicians</t>
  </si>
  <si>
    <t xml:space="preserve">Looking for refrigerator repair in Patchogue, NY? Local technicians fix cooling, leaking and noise problems. Upfront quotes. Call [PHONE].</t>
  </si>
  <si>
    <t xml:space="preserve">H1: Refrigerator Repair in Patchogue, NY
Patchogue is a lively waterfront village with a walkable downtown, surrounded by neighborhoods of single-family homes, condos and apartments. When your refrigerator fails, you need a technician who understands local homes and gets the job done right the first time. [BUSINESS NAME] provides refrigerator repair in Patchogue and nearby neighborhoods, covering cooling, leaking and noise problems for homeowners, renters and property managers.
Apartments and condos near downtown often use compact and counter-depth refrigerators, where ventilation and gasket wear are frequent issues. That is why Patchogue residents often call us for refrigerator problems before they turn into costly breakdowns. Call [PHONE] or book online and we will arrange an appointment at your Patchogue address.
H2: Refrigerator Repair Throughout Patchogue
Our technicians travel to homes and businesses across Patchogue, including Patchogue Village, East Patchogue, North Patchogue, Blue Point, Bellport, Medford, and Holbrook. Wherever you are located, we bring tools and common parts for most refrigerator repairs to the first visit.
H2: Common Refrigerator Problems We Fix in Patchogue
H3: Not cooling or too warm
Often caused by a failed evaporator fan motor, a dirty condenser coil, a faulty defrost system or a sealed-system issue.
H3: Freezer works but the fridge section is warm
Usually points to a blocked air damper, a failed evaporator fan or a frozen evaporator coil restricting airflow.
H3: Water leaking onto the floor
Typically a clogged defrost drain, a cracked water line or a failed inlet valve on models with a water dispenser.
H3: Loud buzzing, clicking or rattling
Fan motors wearing out, or a compressor start relay that clicks repeatedly without starting the compressor.
H3: Frost or ice buildup
Suggests a failed defrost heater, defrost thermostat or control board interrupting the defrost cycle.
H3: Running constantly
Dirty condenser coils, a worn door gasket or a failing temperature sensor can keep the compressor running non-stop.
H2: How Patchogue Homeowners Can Get the Most From Their Refrigerator
- Vacuum the condenser coils every six to twelve months.
- Keep the refrigerator near 37 to 40°F and the freezer at 0°F.
- Test the door gasket by closing a dollar bill in the door; it should resist being pulled out.
- Leave a few inches of clearance behind and above the unit for airflow.
H2: Our Repair Process in Patchogue
Our technician checks temperatures, airflow, coils, fans, gaskets and the defrost system, explains the cause in plain language and gives a clear price before starting. Common replacement parts are often carried on the service vehicle, so many repairs can be finished in a single visit.
1. Call or book online and describe the problem with your refrigerator.
2. We confirm your Patchogue address and schedule an appointment window.
3. The technician diagnoses the fault and gives a firm quote.
4. With your approval, we repair and test the appliance.
5. You receive an invoice and warranty details: [INSERT WARRANTY].
H2: Brands We Service in Patchogue
We repair refrigerator models from Whirlpool, GE, Samsung, LG, Frigidaire, KitchenAid, Maytag, Bosch, Sub-Zero, Viking, Thermador, and Electrolux and more for customers in Patchogue. If you are unsure about your model, send us the model number and we will confirm we can help.
H2: Repair or Replace? Advice for Patchogue Residents
If the unit is 12 to 15 years old and needs a sealed-system repair, replacement is often more economical. For newer units, or for parts such as fans, sensors and defrost components, repair usually makes more sense.
H2: Why Patchogue Customers Choose [BUSINESS NAME]
As a Suffolk County company, we know the area and the homes in it. We provide upfront quotes, treat your home with care and explain the problem clearly. Licensing and insurance: [INSERT DETAILS]. Customers in Patchogue call us because we respect their time and their budget.
H2: Refrigerator Repair FAQs for Patchogue
Q: Do you provide refrigerator repair in Patchogue?
A: Yes. We serve Patchogue and nearby areas including Patchogue Village, East Patchogue, North Patchogue, and Blue Point. Contact us to confirm availability for your address.
Q: How soon can you come to Patchogue for refrigerator repair?
A: Availability varies by day. [INSERT YOUR SAME-DAY / NEXT-DAY POLICY]. We will offer the earliest window we have.
Q: How much does refrigerator repair cost in Patchogue?
A: We diagnose the issue first and give a written price before starting, so there are no surprises. [INSERT DIAGNOSTIC FEE POLICY].
Q: How long is food safe if my refrigerator stops cooling?
A: Food safety guidance says a closed refrigerator keeps food cold for about four hours during a power outage. If your unit is simply not cooling, call promptly and move perishables to a cooler.
Q: Is it worth repairing a refrigerator?
A: In most cases repair is worthwhile when the unit is under about ten years old and the fault is a fan, sensor, relay or defrost part. We will tell you honestly if replacement is the better value.
H2: Book Refrigerator Repair in Patchogue Today
Call [PHONE] or request service online. Our team will get your refrigerator working again.
H2: Preparing for Your Patchogue Service Visit
A few simple steps help the technician work faster. Clear the area around your refrigerator so there is room to work, note when the problem started and any error codes, and keep the model number handy. If the appliance is leaking, switch off its power and water supply where it is safe to do so. For apartment and condo buildings in Patchogue, let us know about parking, access or building rules in advance so your appointment runs smoothly.</t>
  </si>
  <si>
    <t xml:space="preserve">Refrigerator Repair Suffolk County -&gt; /refrigerator-repair/
Appliance Repair Patchogue -&gt; /appliance-repair-patchogue-ny/
Refrigerator Repair in Islip, NY -&gt; /refrigerator-repair/islip-ny/
Freezer Repair in Patchogue -&gt; /freezer-repair/patchogue-ny/
Ice Maker Repair in Patchogue -&gt; /ice-maker-repair/patchogue-ny/
Contact Us -&gt; /contact/</t>
  </si>
  <si>
    <t xml:space="preserve">Town of Brookhaven -&gt; https://www.brookhavenny.gov/
FoodSafety.gov refrigerator and freezer guidance -&gt; https://www.foodsafety.gov/</t>
  </si>
  <si>
    <t xml:space="preserve">Service (areaServed: Patchogue)</t>
  </si>
  <si>
    <t xml:space="preserve">Freezer Repair Huntington</t>
  </si>
  <si>
    <t xml:space="preserve">/freezer-repair/huntington-ny/</t>
  </si>
  <si>
    <t xml:space="preserve">Freezer Repair Huntington NY</t>
  </si>
  <si>
    <t xml:space="preserve">Freezer Repair Huntington, NY | Local Technicians</t>
  </si>
  <si>
    <t xml:space="preserve">Looking for freezer repair in Huntington, NY? Local technicians fix warming, frost buildup and compressor problems. Upfront quotes. Call [PHONE].</t>
  </si>
  <si>
    <t xml:space="preserve">H1: Freezer Repair in Huntington, NY
Huntington blends a walkable historic village with established North Shore neighborhoods, many of them with older kitchens, finished basements and a mix of classic and high-end appliances. When your freezer fails, you need a technician who understands local homes and gets the job done right the first time. [BUSINESS NAME] provides freezer repair in Huntington and nearby neighborhoods, covering warming, frost buildup and compressor problems for homeowners, renters and property managers.
Larger North Shore homes often run a main refrigerator plus a basement freezer or beverage fridge, so units get heavy use and can age unnoticed until they fail. That is why Huntington residents often call us for freezer problems before they turn into costly breakdowns. Call [PHONE] or book online and we will arrange an appointment at your Huntington address.
H2: Freezer Repair Throughout Huntington
Our technicians travel to homes and businesses across Huntington, including Huntington Village, Huntington Station, Greenlawn, Halesite, Cold Spring Harbor, Melville, South Huntington, and Dix Hills. Wherever you are located, we bring tools and common parts for most freezer repairs to the first visit.
H2: Common Freezer Problems We Fix in Huntington
H3: Not freezing or temperature creeping up
A failing compressor, start relay, evaporator fan or thermostat can stop the freezer from holding 0°F.
H3: Heavy frost or ice buildup
A worn door gasket, a door left ajar or a failed defrost heater lets moist air in and coats the coils.
H3: Constant running
Dirty condenser coils, low refrigerant or a faulty temperature control force the compressor to run non-stop.
H3: Noisy operation
Buzzing, grinding or clicking often means a fan motor, compressor mount or start relay is wearing out.
H3: Water pooling under the unit
Clogged defrost drains, or melting frost from a failed defrost cycle, can leak onto the floor.
H3: Freezer burn on food
Temperature swings from a weak thermostat or poor door seal degrade stored food quickly.
H2: How Huntington Homeowners Can Get the Most From Their Freezer
- Defrost manual-defrost chest freezers when frost reaches about a quarter inch.
- Keep the freezer roughly three-quarters full so it holds temperature more efficiently.
- Clean condenser coils twice a year.
- Avoid overloading door shelves, which can break gasket seals.
H2: Our Repair Process in Huntington
We check temperature, airflow, gaskets, fans and the defrost system, confirm whether the sealed system is involved and quote the repair before any work begins. You approve the price first, every time.
1. Call or book online and describe the problem with your freezer.
2. We confirm your Huntington address and schedule an appointment window.
3. The technician diagnoses the fault and gives a firm quote.
4. With your approval, we repair and test the appliance.
5. You receive an invoice and warranty details: [INSERT WARRANTY].
H2: Brands We Service in Huntington
We repair freezer models from Frigidaire, GE, Whirlpool, Kenmore, Electrolux, Haier, Danby, Amana, Maytag, and Samsung and more for customers in Huntington. If you are unsure about your model, send us the model number and we will confirm we can help.
H2: Repair or Replace? Advice for Huntington Residents
Freezers commonly last 10 to 20 years, so an older unit needing a compressor or sealed-system repair is often better replaced, while fans, relays, thermostats and gaskets are worthwhile repairs.
H2: Why Huntington Customers Choose [BUSINESS NAME]
As a Suffolk County company, we know the area and the homes in it. We provide upfront quotes, treat your home with care and explain the problem clearly. Licensing and insurance: [INSERT DETAILS]. Customers in Huntington call us because we respect their time and their budget.
H2: Freezer Repair FAQs for Huntington
Q: Do you provide freezer repair in Huntington?
A: Yes. We serve Huntington and nearby areas including Huntington Village, Huntington Station, Greenlawn, and Halesite. Contact us to confirm availability for your address.
Q: How soon can you come to Huntington for freezer repair?
A: Availability varies by day. [INSERT YOUR SAME-DAY / NEXT-DAY POLICY]. We will offer the earliest window we have.
Q: How much does freezer repair cost in Huntington?
A: We diagnose the issue first and give a written price before starting, so there are no surprises. [INSERT DIAGNOSTIC FEE POLICY].
Q: How long does food stay frozen if my freezer stops working?
A: Food safety guidance says a full freezer that stays closed holds temperature for roughly 48 hours and a half-full one for about 24 hours, so call as soon as you notice a problem.
Q: Why is my freezer covered in frost?
A: Usually a door seal leak or a defrost system fault. Replacing a worn gasket or defrost component normally clears the problem.
H2: Book Freezer Repair in Huntington Today
Call [PHONE] or request service online. Our team will get your freezer working again.
H2: Preparing for Your Huntington Service Visit
A few simple steps help the technician work faster. Clear the area around your freezer so there is room to work, note when the problem started and any error codes, and keep the model number handy. If the appliance is leaking, switch off its power and water supply where it is safe to do so. For apartment and condo buildings in Huntington, let us know about parking, access or building rules in advance so your appointment runs smoothly.</t>
  </si>
  <si>
    <t xml:space="preserve">Freezer Repair Suffolk County -&gt; /freezer-repair/
Appliance Repair Huntington -&gt; /appliance-repair-huntington-ny/
Freezer Repair in Smithtown, NY -&gt; /freezer-repair/smithtown-ny/
Refrigerator Repair in Huntington -&gt; /refrigerator-repair/huntington-ny/
Ice Maker Repair in Huntington -&gt; /ice-maker-repair/huntington-ny/
Contact Us -&gt; /contact/</t>
  </si>
  <si>
    <t xml:space="preserve">Freezer Repair Smithtown</t>
  </si>
  <si>
    <t xml:space="preserve">/freezer-repair/smithtown-ny/</t>
  </si>
  <si>
    <t xml:space="preserve">Freezer Repair Smithtown NY</t>
  </si>
  <si>
    <t xml:space="preserve">Freezer Repair Smithtown, NY | Local Technicians</t>
  </si>
  <si>
    <t xml:space="preserve">Looking for freezer repair in Smithtown, NY? Local technicians fix warming, frost buildup and compressor problems. Upfront quotes. Call [PHONE].</t>
  </si>
  <si>
    <t xml:space="preserve">H1: Freezer Repair in Smithtown, NY
Smithtown is largely suburban, with family-sized homes, busy kitchens and households that run several appliances every single day. When your freezer fails, you need a technician who understands local homes and gets the job done right the first time. [BUSINESS NAME] provides freezer repair in Smithtown and nearby neighborhoods, covering warming, frost buildup and compressor problems for homeowners, renters and property managers.
Larger family households mean refrigerators and garage or basement freezers work hard year-round, especially around holidays and summer gatherings. That is why Smithtown residents often call us for freezer problems before they turn into costly breakdowns. Call [PHONE] or book online and we will arrange an appointment at your Smithtown address.
H2: Freezer Repair Throughout Smithtown
Our technicians travel to homes and businesses across Smithtown, including Smithtown, Kings Park, St. James, Nesconset, Hauppauge, Fort Salonga, and Head of the Harbor. Wherever you are located, we bring tools and common parts for most freezer repairs to the first visit.
H2: Common Freezer Problems We Fix in Smithtown
H3: Not freezing or temperature creeping up
A failing compressor, start relay, evaporator fan or thermostat can stop the freezer from holding 0°F.
H3: Heavy frost or ice buildup
A worn door gasket, a door left ajar or a failed defrost heater lets moist air in and coats the coils.
H3: Constant running
Dirty condenser coils, low refrigerant or a faulty temperature control force the compressor to run non-stop.
H3: Noisy operation
Buzzing, grinding or clicking often means a fan motor, compressor mount or start relay is wearing out.
H3: Water pooling under the unit
Clogged defrost drains, or melting frost from a failed defrost cycle, can leak onto the floor.
H3: Freezer burn on food
Temperature swings from a weak thermostat or poor door seal degrade stored food quickly.
H2: How Smithtown Homeowners Can Get the Most From Their Freezer
- Defrost manual-defrost chest freezers when frost reaches about a quarter inch.
- Keep the freezer roughly three-quarters full so it holds temperature more efficiently.
- Clean condenser coils twice a year.
- Avoid overloading door shelves, which can break gasket seals.
H2: Our Repair Process in Smithtown
We check temperature, airflow, gaskets, fans and the defrost system, confirm whether the sealed system is involved and quote the repair before any work begins. You approve the price first, every time.
1. Call or book online and describe the problem with your freezer.
2. We confirm your Smithtown address and schedule an appointment window.
3. The technician diagnoses the fault and gives a firm quote.
4. With your approval, we repair and test the appliance.
5. You receive an invoice and warranty details: [INSERT WARRANTY].
H2: Brands We Service in Smithtown
We repair freezer models from Frigidaire, GE, Whirlpool, Kenmore, Electrolux, Haier, Danby, Amana, Maytag, and Samsung and more for customers in Smithtown. If you are unsure about your model, send us the model number and we will confirm we can help.
H2: Repair or Replace? Advice for Smithtown Residents
Freezers commonly last 10 to 20 years, so an older unit needing a compressor or sealed-system repair is often better replaced, while fans, relays, thermostats and gaskets are worthwhile repairs.
H2: Why Smithtown Customers Choose [BUSINESS NAME]
As a Suffolk County company, we know the area and the homes in it. We provide upfront quotes, treat your home with care and explain the problem clearly. Licensing and insurance: [INSERT DETAILS]. Customers in Smithtown call us because we respect their time and their budget.
H2: Freezer Repair FAQs for Smithtown
Q: Do you provide freezer repair in Smithtown?
A: Yes. We serve Smithtown and nearby areas including Smithtown, Kings Park, St. James, and Nesconset. Contact us to confirm availability for your address.
Q: How soon can you come to Smithtown for freezer repair?
A: Availability varies by day. [INSERT YOUR SAME-DAY / NEXT-DAY POLICY]. We will offer the earliest window we have.
Q: How much does freezer repair cost in Smithtown?
A: We diagnose the issue first and give a written price before starting, so there are no surprises. [INSERT DIAGNOSTIC FEE POLICY].
Q: How long does food stay frozen if my freezer stops working?
A: Food safety guidance says a full freezer that stays closed holds temperature for roughly 48 hours and a half-full one for about 24 hours, so call as soon as you notice a problem.
Q: Why is my freezer covered in frost?
A: Usually a door seal leak or a defrost system fault. Replacing a worn gasket or defrost component normally clears the problem.
H2: Book Freezer Repair in Smithtown Today
Call [PHONE] or request service online. Our team will get your freezer working again.
H2: Preparing for Your Smithtown Service Visit
A few simple steps help the technician work faster. Clear the area around your freezer so there is room to work, note when the problem started and any error codes, and keep the model number handy. If the appliance is leaking, switch off its power and water supply where it is safe to do so. For apartment and condo buildings in Smithtown, let us know about parking, access or building rules in advance so your appointment runs smoothly.</t>
  </si>
  <si>
    <t xml:space="preserve">Freezer Repair Suffolk County -&gt; /freezer-repair/
Appliance Repair Smithtown -&gt; /appliance-repair-smithtown-ny/
Freezer Repair in Huntington, NY -&gt; /freezer-repair/huntington-ny/
Freezer Repair in Islip, NY -&gt; /freezer-repair/islip-ny/
Refrigerator Repair in Smithtown -&gt; /refrigerator-repair/smithtown-ny/
Ice Maker Repair in Smithtown -&gt; /ice-maker-repair/smithtown-ny/
Contact Us -&gt; /contact/</t>
  </si>
  <si>
    <t xml:space="preserve">Freezer Repair Islip</t>
  </si>
  <si>
    <t xml:space="preserve">/freezer-repair/islip-ny/</t>
  </si>
  <si>
    <t xml:space="preserve">Freezer Repair Islip NY</t>
  </si>
  <si>
    <t xml:space="preserve">Freezer Repair Islip, NY | Local Technicians</t>
  </si>
  <si>
    <t xml:space="preserve">Looking for freezer repair in Islip, NY? Local technicians fix warming, frost buildup and compressor problems. Upfront quotes. Call [PHONE].</t>
  </si>
  <si>
    <t xml:space="preserve">H1: Freezer Repair in Islip, NY
Islip stretches across the South Shore, from waterfront communities near the Great South Bay to inland neighborhoods, with a wide mix of single-family homes, condos and rentals. When your freezer fails, you need a technician who understands local homes and gets the job done right the first time. [BUSINESS NAME] provides freezer repair in Islip and nearby neighborhoods, covering warming, frost buildup and compressor problems for homeowners, renters and property managers.
Humid South Shore summers make refrigerators and freezers work harder, and dirty condenser coils are a common reason units run constantly. That is why Islip residents often call us for freezer problems before they turn into costly breakdowns. Call [PHONE] or book online and we will arrange an appointment at your Islip address.
H2: Freezer Repair Throughout Islip
Our technicians travel to homes and businesses across Islip, including Islip, East Islip, Islip Terrace, Bay Shore, Brentwood, Central Islip, Sayville, and Great River. Wherever you are located, we bring tools and common parts for most freezer repairs to the first visit.
H2: Common Freezer Problems We Fix in Islip
H3: Not freezing or temperature creeping up
A failing compressor, start relay, evaporator fan or thermostat can stop the freezer from holding 0°F.
H3: Heavy frost or ice buildup
A worn door gasket, a door left ajar or a failed defrost heater lets moist air in and coats the coils.
H3: Constant running
Dirty condenser coils, low refrigerant or a faulty temperature control force the compressor to run non-stop.
H3: Noisy operation
Buzzing, grinding or clicking often means a fan motor, compressor mount or start relay is wearing out.
H3: Water pooling under the unit
Clogged defrost drains, or melting frost from a failed defrost cycle, can leak onto the floor.
H3: Freezer burn on food
Temperature swings from a weak thermostat or poor door seal degrade stored food quickly.
H2: How Islip Homeowners Can Get the Most From Their Freezer
- Defrost manual-defrost chest freezers when frost reaches about a quarter inch.
- Keep the freezer roughly three-quarters full so it holds temperature more efficiently.
- Clean condenser coils twice a year.
- Avoid overloading door shelves, which can break gasket seals.
H2: Our Repair Process in Islip
We check temperature, airflow, gaskets, fans and the defrost system, confirm whether the sealed system is involved and quote the repair before any work begins. You approve the price first, every time.
1. Call or book online and describe the problem with your freezer.
2. We confirm your Islip address and schedule an appointment window.
3. The technician diagnoses the fault and gives a firm quote.
4. With your approval, we repair and test the appliance.
5. You receive an invoice and warranty details: [INSERT WARRANTY].
H2: Brands We Service in Islip
We repair freezer models from Frigidaire, GE, Whirlpool, Kenmore, Electrolux, Haier, Danby, Amana, Maytag, and Samsung and more for customers in Islip. If you are unsure about your model, send us the model number and we will confirm we can help.
H2: Repair or Replace? Advice for Islip Residents
Freezers commonly last 10 to 20 years, so an older unit needing a compressor or sealed-system repair is often better replaced, while fans, relays, thermostats and gaskets are worthwhile repairs.
H2: Why Islip Customers Choose [BUSINESS NAME]
As a Suffolk County company, we know the area and the homes in it. We provide upfront quotes, treat your home with care and explain the problem clearly. Licensing and insurance: [INSERT DETAILS]. Customers in Islip call us because we respect their time and their budget.
H2: Freezer Repair FAQs for Islip
Q: Do you provide freezer repair in Islip?
A: Yes. We serve Islip and nearby areas including Islip, East Islip, Islip Terrace, and Bay Shore. Contact us to confirm availability for your address.
Q: How soon can you come to Islip for freezer repair?
A: Availability varies by day. [INSERT YOUR SAME-DAY / NEXT-DAY POLICY]. We will offer the earliest window we have.
Q: How much does freezer repair cost in Islip?
A: We diagnose the issue first and give a written price before starting, so there are no surprises. [INSERT DIAGNOSTIC FEE POLICY].
Q: How long does food stay frozen if my freezer stops working?
A: Food safety guidance says a full freezer that stays closed holds temperature for roughly 48 hours and a half-full one for about 24 hours, so call as soon as you notice a problem.
Q: Why is my freezer covered in frost?
A: Usually a door seal leak or a defrost system fault. Replacing a worn gasket or defrost component normally clears the problem.
H2: Book Freezer Repair in Islip Today
Call [PHONE] or request service online. Our team will get your freezer working again.
H2: Preparing for Your Islip Service Visit
A few simple steps help the technician work faster. Clear the area around your freezer so there is room to work, note when the problem started and any error codes, and keep the model number handy. If the appliance is leaking, switch off its power and water supply where it is safe to do so. For apartment and condo buildings in Islip, let us know about parking, access or building rules in advance so your appointment runs smoothly.</t>
  </si>
  <si>
    <t xml:space="preserve">Freezer Repair Suffolk County -&gt; /freezer-repair/
Appliance Repair Islip -&gt; /appliance-repair-islip-ny/
Freezer Repair in Babylon, NY -&gt; /freezer-repair/babylon-ny/
Freezer Repair in Patchogue, NY -&gt; /freezer-repair/patchogue-ny/
Refrigerator Repair in Islip -&gt; /refrigerator-repair/islip-ny/
Ice Maker Repair in Islip -&gt; /ice-maker-repair/islip-ny/
Contact Us -&gt; /contact/</t>
  </si>
  <si>
    <t xml:space="preserve">Freezer Repair Babylon</t>
  </si>
  <si>
    <t xml:space="preserve">/freezer-repair/babylon-ny/</t>
  </si>
  <si>
    <t xml:space="preserve">Freezer Repair Babylon NY</t>
  </si>
  <si>
    <t xml:space="preserve">Freezer Repair Babylon, NY | Local Technicians</t>
  </si>
  <si>
    <t xml:space="preserve">Looking for freezer repair in Babylon, NY? Local technicians fix warming, frost buildup and compressor problems. Upfront quotes. Call [PHONE].</t>
  </si>
  <si>
    <t xml:space="preserve">H1: Freezer Repair in Babylon, NY
The Town of Babylon covers busy South Shore villages and hamlets with a large share of well-kept single-family homes, plus apartments and rental units. When your freezer fails, you need a technician who understands local homes and gets the job done right the first time. [BUSINESS NAME] provides freezer repair in Babylon and nearby neighborhoods, covering warming, frost buildup and compressor problems for homeowners, renters and property managers.
In older and smaller homes, refrigerators are often tucked into tight spaces with little ventilation, causing overheating and extra compressor strain. That is why Babylon residents often call us for freezer problems before they turn into costly breakdowns. Call [PHONE] or book online and we will arrange an appointment at your Babylon address.
H2: Freezer Repair Throughout Babylon
Our technicians travel to homes and businesses across Babylon, including Babylon Village, Lindenhurst, Copiague, West Babylon, North Babylon, Deer Park, and Wyandanch. Wherever you are located, we bring tools and common parts for most freezer repairs to the first visit.
H2: Common Freezer Problems We Fix in Babylon
H3: Not freezing or temperature creeping up
A failing compressor, start relay, evaporator fan or thermostat can stop the freezer from holding 0°F.
H3: Heavy frost or ice buildup
A worn door gasket, a door left ajar or a failed defrost heater lets moist air in and coats the coils.
H3: Constant running
Dirty condenser coils, low refrigerant or a faulty temperature control force the compressor to run non-stop.
H3: Noisy operation
Buzzing, grinding or clicking often means a fan motor, compressor mount or start relay is wearing out.
H3: Water pooling under the unit
Clogged defrost drains, or melting frost from a failed defrost cycle, can leak onto the floor.
H3: Freezer burn on food
Temperature swings from a weak thermostat or poor door seal degrade stored food quickly.
H2: How Babylon Homeowners Can Get the Most From Their Freezer
- Defrost manual-defrost chest freezers when frost reaches about a quarter inch.
- Keep the freezer roughly three-quarters full so it holds temperature more efficiently.
- Clean condenser coils twice a year.
- Avoid overloading door shelves, which can break gasket seals.
H2: Our Repair Process in Babylon
We check temperature, airflow, gaskets, fans and the defrost system, confirm whether the sealed system is involved and quote the repair before any work begins. You approve the price first, every time.
1. Call or book online and describe the problem with your freezer.
2. We confirm your Babylon address and schedule an appointment window.
3. The technician diagnoses the fault and gives a firm quote.
4. With your approval, we repair and test the appliance.
5. You receive an invoice and warranty details: [INSERT WARRANTY].
H2: Brands We Service in Babylon
We repair freezer models from Frigidaire, GE, Whirlpool, Kenmore, Electrolux, Haier, Danby, Amana, Maytag, and Samsung and more for customers in Babylon. If you are unsure about your model, send us the model number and we will confirm we can help.
H2: Repair or Replace? Advice for Babylon Residents
Freezers commonly last 10 to 20 years, so an older unit needing a compressor or sealed-system repair is often better replaced, while fans, relays, thermostats and gaskets are worthwhile repairs.
H2: Why Babylon Customers Choose [BUSINESS NAME]
As a Suffolk County company, we know the area and the homes in it. We provide upfront quotes, treat your home with care and explain the problem clearly. Licensing and insurance: [INSERT DETAILS]. Customers in Babylon call us because we respect their time and their budget.
H2: Freezer Repair FAQs for Babylon
Q: Do you provide freezer repair in Babylon?
A: Yes. We serve Babylon and nearby areas including Babylon Village, Lindenhurst, Copiague, and West Babylon. Contact us to confirm availability for your address.
Q: How soon can you come to Babylon for freezer repair?
A: Availability varies by day. [INSERT YOUR SAME-DAY / NEXT-DAY POLICY]. We will offer the earliest window we have.
Q: How much does freezer repair cost in Babylon?
A: We diagnose the issue first and give a written price before starting, so there are no surprises. [INSERT DIAGNOSTIC FEE POLICY].
Q: How long does food stay frozen if my freezer stops working?
A: Food safety guidance says a full freezer that stays closed holds temperature for roughly 48 hours and a half-full one for about 24 hours, so call as soon as you notice a problem.
Q: Why is my freezer covered in frost?
A: Usually a door seal leak or a defrost system fault. Replacing a worn gasket or defrost component normally clears the problem.
H2: Book Freezer Repair in Babylon Today
Call [PHONE] or request service online. Our team will get your freezer working again.
H2: Preparing for Your Babylon Service Visit
A few simple steps help the technician work faster. Clear the area around your freezer so there is room to work, note when the problem started and any error codes, and keep the model number handy. If the appliance is leaking, switch off its power and water supply where it is safe to do so. For apartment and condo buildings in Babylon, let us know about parking, access or building rules in advance so your appointment runs smoothly.</t>
  </si>
  <si>
    <t xml:space="preserve">Freezer Repair Suffolk County -&gt; /freezer-repair/
Appliance Repair Babylon -&gt; /appliance-repair-babylon-ny/
Freezer Repair in Islip, NY -&gt; /freezer-repair/islip-ny/
Refrigerator Repair in Babylon -&gt; /refrigerator-repair/babylon-ny/
Ice Maker Repair in Babylon -&gt; /ice-maker-repair/babylon-ny/
Contact Us -&gt; /contact/</t>
  </si>
  <si>
    <t xml:space="preserve">Freezer Repair Patchogue</t>
  </si>
  <si>
    <t xml:space="preserve">/freezer-repair/patchogue-ny/</t>
  </si>
  <si>
    <t xml:space="preserve">Freezer Repair Patchogue NY</t>
  </si>
  <si>
    <t xml:space="preserve">Freezer Repair Patchogue, NY | Local Technicians</t>
  </si>
  <si>
    <t xml:space="preserve">Looking for freezer repair in Patchogue, NY? Local technicians fix warming, frost buildup and compressor problems. Upfront quotes. Call [PHONE].</t>
  </si>
  <si>
    <t xml:space="preserve">H1: Freezer Repair in Patchogue, NY
Patchogue is a lively waterfront village with a walkable downtown, surrounded by neighborhoods of single-family homes, condos and apartments. When your freezer fails, you need a technician who understands local homes and gets the job done right the first time. [BUSINESS NAME] provides freezer repair in Patchogue and nearby neighborhoods, covering warming, frost buildup and compressor problems for homeowners, renters and property managers.
Apartments and condos near downtown often use compact and counter-depth refrigerators, where ventilation and gasket wear are frequent issues. That is why Patchogue residents often call us for freezer problems before they turn into costly breakdowns. Call [PHONE] or book online and we will arrange an appointment at your Patchogue address.
H2: Freezer Repair Throughout Patchogue
Our technicians travel to homes and businesses across Patchogue, including Patchogue Village, East Patchogue, North Patchogue, Blue Point, Bellport, Medford, and Holbrook. Wherever you are located, we bring tools and common parts for most freezer repairs to the first visit.
H2: Common Freezer Problems We Fix in Patchogue
H3: Not freezing or temperature creeping up
A failing compressor, start relay, evaporator fan or thermostat can stop the freezer from holding 0°F.
H3: Heavy frost or ice buildup
A worn door gasket, a door left ajar or a failed defrost heater lets moist air in and coats the coils.
H3: Constant running
Dirty condenser coils, low refrigerant or a faulty temperature control force the compressor to run non-stop.
H3: Noisy operation
Buzzing, grinding or clicking often means a fan motor, compressor mount or start relay is wearing out.
H3: Water pooling under the unit
Clogged defrost drains, or melting frost from a failed defrost cycle, can leak onto the floor.
H3: Freezer burn on food
Temperature swings from a weak thermostat or poor door seal degrade stored food quickly.
H2: How Patchogue Homeowners Can Get the Most From Their Freezer
- Defrost manual-defrost chest freezers when frost reaches about a quarter inch.
- Keep the freezer roughly three-quarters full so it holds temperature more efficiently.
- Clean condenser coils twice a year.
- Avoid overloading door shelves, which can break gasket seals.
H2: Our Repair Process in Patchogue
We check temperature, airflow, gaskets, fans and the defrost system, confirm whether the sealed system is involved and quote the repair before any work begins. You approve the price first, every time.
1. Call or book online and describe the problem with your freezer.
2. We confirm your Patchogue address and schedule an appointment window.
3. The technician diagnoses the fault and gives a firm quote.
4. With your approval, we repair and test the appliance.
5. You receive an invoice and warranty details: [INSERT WARRANTY].
H2: Brands We Service in Patchogue
We repair freezer models from Frigidaire, GE, Whirlpool, Kenmore, Electrolux, Haier, Danby, Amana, Maytag, and Samsung and more for customers in Patchogue. If you are unsure about your model, send us the model number and we will confirm we can help.
H2: Repair or Replace? Advice for Patchogue Residents
Freezers commonly last 10 to 20 years, so an older unit needing a compressor or sealed-system repair is often better replaced, while fans, relays, thermostats and gaskets are worthwhile repairs.
H2: Why Patchogue Customers Choose [BUSINESS NAME]
As a Suffolk County company, we know the area and the homes in it. We provide upfront quotes, treat your home with care and explain the problem clearly. Licensing and insurance: [INSERT DETAILS]. Customers in Patchogue call us because we respect their time and their budget.
H2: Freezer Repair FAQs for Patchogue
Q: Do you provide freezer repair in Patchogue?
A: Yes. We serve Patchogue and nearby areas including Patchogue Village, East Patchogue, North Patchogue, and Blue Point. Contact us to confirm availability for your address.
Q: How soon can you come to Patchogue for freezer repair?
A: Availability varies by day. [INSERT YOUR SAME-DAY / NEXT-DAY POLICY]. We will offer the earliest window we have.
Q: How much does freezer repair cost in Patchogue?
A: We diagnose the issue first and give a written price before starting, so there are no surprises. [INSERT DIAGNOSTIC FEE POLICY].
Q: How long does food stay frozen if my freezer stops working?
A: Food safety guidance says a full freezer that stays closed holds temperature for roughly 48 hours and a half-full one for about 24 hours, so call as soon as you notice a problem.
Q: Why is my freezer covered in frost?
A: Usually a door seal leak or a defrost system fault. Replacing a worn gasket or defrost component normally clears the problem.
H2: Book Freezer Repair in Patchogue Today
Call [PHONE] or request service online. Our team will get your freezer working again.
H2: Preparing for Your Patchogue Service Visit
A few simple steps help the technician work faster. Clear the area around your freezer so there is room to work, note when the problem started and any error codes, and keep the model number handy. If the appliance is leaking, switch off its power and water supply where it is safe to do so. For apartment and condo buildings in Patchogue, let us know about parking, access or building rules in advance so your appointment runs smoothly.</t>
  </si>
  <si>
    <t xml:space="preserve">Freezer Repair Suffolk County -&gt; /freezer-repair/
Appliance Repair Patchogue -&gt; /appliance-repair-patchogue-ny/
Freezer Repair in Islip, NY -&gt; /freezer-repair/islip-ny/
Refrigerator Repair in Patchogue -&gt; /refrigerator-repair/patchogue-ny/
Ice Maker Repair in Patchogue -&gt; /ice-maker-repair/patchogue-ny/
Contact Us -&gt; /contact/</t>
  </si>
  <si>
    <t xml:space="preserve">Washing Machine Repair Huntington</t>
  </si>
  <si>
    <t xml:space="preserve">/washer-repair/huntington-ny/</t>
  </si>
  <si>
    <t xml:space="preserve">Washing Machine Repair Huntington NY</t>
  </si>
  <si>
    <t xml:space="preserve">Washing Machine Repair Huntington, NY | Local Technicians</t>
  </si>
  <si>
    <t xml:space="preserve">Looking for washing machine repair in Huntington, NY? Local technicians fix leaks, drainage and spin problems. Upfront quotes. Call [PHONE].</t>
  </si>
  <si>
    <t xml:space="preserve">H1: Washing Machine Repair in Huntington, NY
Huntington blends a walkable historic village with established North Shore neighborhoods, many of them with older kitchens, finished basements and a mix of classic and high-end appliances. When your washer fails, you need a technician who understands local homes and gets the job done right the first time. [BUSINESS NAME] provides washing machine repair in Huntington and nearby neighborhoods, covering leaks, drainage and spin problems for homeowners, renters and property managers.
Many Huntington homes have laundry in basements or tight closets, where long dryer vent runs and limited airflow cause overheating and slow drying. That is why Huntington residents often call us for washer problems before they turn into costly breakdowns. Call [PHONE] or book online and we will arrange an appointment at your Huntington address.
H2: Washing Machine Repair Throughout Huntington
Our technicians travel to homes and businesses across Huntington, including Huntington Village, Huntington Station, Greenlawn, Halesite, Cold Spring Harbor, Melville, South Huntington, and Dix Hills. Wherever you are located, we bring tools and common parts for most washer repairs to the first visit.
H2: Common Washer Problems We Fix in Huntington
H3: Won't drain or leaves water in the drum
A clogged drain pump filter, failed drain pump or kinked drain hose is the usual culprit.
H3: Won't spin or spins weakly
Worn drive belts, a faulty lid switch or door lock, a failing motor coupling or an out-of-balance load.
H3: Leaking water
Worn door boot seals, loose hoses, a cracked pump housing or a failing water inlet valve.
H3: Loud banging or grinding
Worn tub bearings, damaged shock absorbers or suspension rods, or a loose drum.
H3: Won't start or fill
A bad door latch, lid switch, water inlet valve or control board can stop the cycle before it begins.
H3: Musty odor
Mold and residue buildup in the door seal and detergent drawer, often made worse by low-temperature washing.
H2: How Huntington Homeowners Can Get the Most From Their Washer
- Leave the door ajar after each wash so the drum can dry.
- Clean the drain pump filter every few months on front-loaders.
- Use the recommended amount of HE detergent only.
- Replace rubber fill hoses every five years to prevent bursts.
H2: Our Repair Process in Huntington
We run the machine through its cycles, inspect the pump, hoses, seals, suspension and controls, then explain the fault and give a firm price. If a repair is not worthwhile, we will say so.
1. Call or book online and describe the problem with your washer.
2. We confirm your Huntington address and schedule an appointment window.
3. The technician diagnoses the fault and gives a firm quote.
4. With your approval, we repair and test the appliance.
5. You receive an invoice and warranty details: [INSERT WARRANTY].
H2: Brands We Service in Huntington
We repair washer models from Whirlpool, Maytag, GE, Samsung, LG, Electrolux, Bosch, Speed Queen, Frigidaire, Kenmore, and Amana and more for customers in Huntington. If you are unsure about your model, send us the model number and we will confirm we can help.
H2: Repair or Replace? Advice for Huntington Residents
Washers typically last 10 to 14 years. Bearing and tub failures on older machines often cost more than they are worth, while pumps, switches, belts and valves are usually sound repairs.
H2: Why Huntington Customers Choose [BUSINESS NAME]
As a Suffolk County company, we know the area and the homes in it. We provide upfront quotes, treat your home with care and explain the problem clearly. Licensing and insurance: [INSERT DETAILS]. Customers in Huntington call us because we respect their time and their budget.
H2: Washing Machine Repair FAQs for Huntington
Q: Do you provide washing machine repair in Huntington?
A: Yes. We serve Huntington and nearby areas including Huntington Village, Huntington Station, Greenlawn, and Halesite. Contact us to confirm availability for your address.
Q: How soon can you come to Huntington for washing machine repair?
A: Availability varies by day. [INSERT YOUR SAME-DAY / NEXT-DAY POLICY]. We will offer the earliest window we have.
Q: How much does washing machine repair cost in Huntington?
A: We diagnose the issue first and give a written price before starting, so there are no surprises. [INSERT DIAGNOSTIC FEE POLICY].
Q: Why is my washing machine not draining?
A: A blocked pump filter or hose, or a failed drain pump, is the most common cause. A technician can clear or replace these quickly.
Q: Is it worth fixing a washing machine?
A: Usually yes if it is under eight years old and the fault is a pump, valve, switch or belt. We compare repair cost against replacement so you can decide.
H2: Book Washing Machine Repair in Huntington Today
Call [PHONE] or request service online. Our team will get your washer working again.
H2: Preparing for Your Huntington Service Visit
A few simple steps help the technician work faster. Clear the area around your washer so there is room to work, note when the problem started and any error codes, and keep the model number handy. If the appliance is leaking, switch off its power and water supply where it is safe to do so. For apartment and condo buildings in Huntington, let us know about parking, access or building rules in advance so your appointment runs smoothly.</t>
  </si>
  <si>
    <t xml:space="preserve">Washing Machine Repair Suffolk County -&gt; /washer-repair/
Appliance Repair Huntington -&gt; /appliance-repair-huntington-ny/
Washing Machine Repair in Smithtown, NY -&gt; /washer-repair/smithtown-ny/
Dryer Repair in Huntington -&gt; /dryer-repair/huntington-ny/
Dishwasher Repair in Huntington -&gt; /dishwasher-repair/huntington-ny/
Contact Us -&gt; /contact/</t>
  </si>
  <si>
    <t xml:space="preserve">Town of Huntington -&gt; https://www.huntingtonny.gov/
U.S. Consumer Product Safety Commission -&gt; https://www.cpsc.gov/</t>
  </si>
  <si>
    <t xml:space="preserve">Washing Machine Repair Smithtown</t>
  </si>
  <si>
    <t xml:space="preserve">/washer-repair/smithtown-ny/</t>
  </si>
  <si>
    <t xml:space="preserve">Washing Machine Repair Smithtown NY</t>
  </si>
  <si>
    <t xml:space="preserve">Washing Machine Repair Smithtown, NY | Local Technicians</t>
  </si>
  <si>
    <t xml:space="preserve">Looking for washing machine repair in Smithtown, NY? Local technicians fix leaks, drainage and spin problems. Upfront quotes. Call [PHONE].</t>
  </si>
  <si>
    <t xml:space="preserve">H1: Washing Machine Repair in Smithtown, NY
Smithtown is largely suburban, with family-sized homes, busy kitchens and households that run several appliances every single day. When your washer fails, you need a technician who understands local homes and gets the job done right the first time. [BUSINESS NAME] provides washing machine repair in Smithtown and nearby neighborhoods, covering leaks, drainage and spin problems for homeowners, renters and property managers.
High-volume family laundry puts constant strain on washer bearings, drain pumps, dryer belts and heating elements. That is why Smithtown residents often call us for washer problems before they turn into costly breakdowns. Call [PHONE] or book online and we will arrange an appointment at your Smithtown address.
H2: Washing Machine Repair Throughout Smithtown
Our technicians travel to homes and businesses across Smithtown, including Smithtown, Kings Park, St. James, Nesconset, Hauppauge, Fort Salonga, and Head of the Harbor. Wherever you are located, we bring tools and common parts for most washer repairs to the first visit.
H2: Common Washer Problems We Fix in Smithtown
H3: Won't drain or leaves water in the drum
A clogged drain pump filter, failed drain pump or kinked drain hose is the usual culprit.
H3: Won't spin or spins weakly
Worn drive belts, a faulty lid switch or door lock, a failing motor coupling or an out-of-balance load.
H3: Leaking water
Worn door boot seals, loose hoses, a cracked pump housing or a failing water inlet valve.
H3: Loud banging or grinding
Worn tub bearings, damaged shock absorbers or suspension rods, or a loose drum.
H3: Won't start or fill
A bad door latch, lid switch, water inlet valve or control board can stop the cycle before it begins.
H3: Musty odor
Mold and residue buildup in the door seal and detergent drawer, often made worse by low-temperature washing.
H2: How Smithtown Homeowners Can Get the Most From Their Washer
- Leave the door ajar after each wash so the drum can dry.
- Clean the drain pump filter every few months on front-loaders.
- Use the recommended amount of HE detergent only.
- Replace rubber fill hoses every five years to prevent bursts.
H2: Our Repair Process in Smithtown
We run the machine through its cycles, inspect the pump, hoses, seals, suspension and controls, then explain the fault and give a firm price. If a repair is not worthwhile, we will say so.
1. Call or book online and describe the problem with your washer.
2. We confirm your Smithtown address and schedule an appointment window.
3. The technician diagnoses the fault and gives a firm quote.
4. With your approval, we repair and test the appliance.
5. You receive an invoice and warranty details: [INSERT WARRANTY].
H2: Brands We Service in Smithtown
We repair washer models from Whirlpool, Maytag, GE, Samsung, LG, Electrolux, Bosch, Speed Queen, Frigidaire, Kenmore, and Amana and more for customers in Smithtown. If you are unsure about your model, send us the model number and we will confirm we can help.
H2: Repair or Replace? Advice for Smithtown Residents
Washers typically last 10 to 14 years. Bearing and tub failures on older machines often cost more than they are worth, while pumps, switches, belts and valves are usually sound repairs.
H2: Why Smithtown Customers Choose [BUSINESS NAME]
As a Suffolk County company, we know the area and the homes in it. We provide upfront quotes, treat your home with care and explain the problem clearly. Licensing and insurance: [INSERT DETAILS]. Customers in Smithtown call us because we respect their time and their budget.
H2: Washing Machine Repair FAQs for Smithtown
Q: Do you provide washing machine repair in Smithtown?
A: Yes. We serve Smithtown and nearby areas including Smithtown, Kings Park, St. James, and Nesconset. Contact us to confirm availability for your address.
Q: How soon can you come to Smithtown for washing machine repair?
A: Availability varies by day. [INSERT YOUR SAME-DAY / NEXT-DAY POLICY]. We will offer the earliest window we have.
Q: How much does washing machine repair cost in Smithtown?
A: We diagnose the issue first and give a written price before starting, so there are no surprises. [INSERT DIAGNOSTIC FEE POLICY].
Q: Why is my washing machine not draining?
A: A blocked pump filter or hose, or a failed drain pump, is the most common cause. A technician can clear or replace these quickly.
Q: Is it worth fixing a washing machine?
A: Usually yes if it is under eight years old and the fault is a pump, valve, switch or belt. We compare repair cost against replacement so you can decide.
H2: Book Washing Machine Repair in Smithtown Today
Call [PHONE] or request service online. Our team will get your washer working again.
H2: Preparing for Your Smithtown Service Visit
A few simple steps help the technician work faster. Clear the area around your washer so there is room to work, note when the problem started and any error codes, and keep the model number handy. If the appliance is leaking, switch off its power and water supply where it is safe to do so. For apartment and condo buildings in Smithtown, let us know about parking, access or building rules in advance so your appointment runs smoothly.</t>
  </si>
  <si>
    <t xml:space="preserve">Washing Machine Repair Suffolk County -&gt; /washer-repair/
Appliance Repair Smithtown -&gt; /appliance-repair-smithtown-ny/
Washing Machine Repair in Huntington, NY -&gt; /washer-repair/huntington-ny/
Washing Machine Repair in Islip, NY -&gt; /washer-repair/islip-ny/
Dryer Repair in Smithtown -&gt; /dryer-repair/smithtown-ny/
Dishwasher Repair in Smithtown -&gt; /dishwasher-repair/smithtown-ny/
Contact Us -&gt; /contact/</t>
  </si>
  <si>
    <t xml:space="preserve">Town of Smithtown -&gt; https://www.smithtownny.gov/
U.S. Consumer Product Safety Commission -&gt; https://www.cpsc.gov/</t>
  </si>
  <si>
    <t xml:space="preserve">Washing Machine Repair Islip</t>
  </si>
  <si>
    <t xml:space="preserve">/washer-repair/islip-ny/</t>
  </si>
  <si>
    <t xml:space="preserve">Washing Machine Repair Islip NY</t>
  </si>
  <si>
    <t xml:space="preserve">Washing Machine Repair Islip, NY | Local Technicians</t>
  </si>
  <si>
    <t xml:space="preserve">Looking for washing machine repair in Islip, NY? Local technicians fix leaks, drainage and spin problems. Upfront quotes. Call [PHONE].</t>
  </si>
  <si>
    <t xml:space="preserve">H1: Washing Machine Repair in Islip, NY
Islip stretches across the South Shore, from waterfront communities near the Great South Bay to inland neighborhoods, with a wide mix of single-family homes, condos and rentals. When your washer fails, you need a technician who understands local homes and gets the job done right the first time. [BUSINESS NAME] provides washing machine repair in Islip and nearby neighborhoods, covering leaks, drainage and spin problems for homeowners, renters and property managers.
Coastal humidity and salt air can shorten the life of metal components, and clogged dryer vents lengthen drying cycles in homes of every age. That is why Islip residents often call us for washer problems before they turn into costly breakdowns. Call [PHONE] or book online and we will arrange an appointment at your Islip address.
H2: Washing Machine Repair Throughout Islip
Our technicians travel to homes and businesses across Islip, including Islip, East Islip, Islip Terrace, Bay Shore, Brentwood, Central Islip, Sayville, and Great River. Wherever you are located, we bring tools and common parts for most washer repairs to the first visit.
H2: Common Washer Problems We Fix in Islip
H3: Won't drain or leaves water in the drum
A clogged drain pump filter, failed drain pump or kinked drain hose is the usual culprit.
H3: Won't spin or spins weakly
Worn drive belts, a faulty lid switch or door lock, a failing motor coupling or an out-of-balance load.
H3: Leaking water
Worn door boot seals, loose hoses, a cracked pump housing or a failing water inlet valve.
H3: Loud banging or grinding
Worn tub bearings, damaged shock absorbers or suspension rods, or a loose drum.
H3: Won't start or fill
A bad door latch, lid switch, water inlet valve or control board can stop the cycle before it begins.
H3: Musty odor
Mold and residue buildup in the door seal and detergent drawer, often made worse by low-temperature washing.
H2: How Islip Homeowners Can Get the Most From Their Washer
- Leave the door ajar after each wash so the drum can dry.
- Clean the drain pump filter every few months on front-loaders.
- Use the recommended amount of HE detergent only.
- Replace rubber fill hoses every five years to prevent bursts.
H2: Our Repair Process in Islip
We run the machine through its cycles, inspect the pump, hoses, seals, suspension and controls, then explain the fault and give a firm price. If a repair is not worthwhile, we will say so.
1. Call or book online and describe the problem with your washer.
2. We confirm your Islip address and schedule an appointment window.
3. The technician diagnoses the fault and gives a firm quote.
4. With your approval, we repair and test the appliance.
5. You receive an invoice and warranty details: [INSERT WARRANTY].
H2: Brands We Service in Islip
We repair washer models from Whirlpool, Maytag, GE, Samsung, LG, Electrolux, Bosch, Speed Queen, Frigidaire, Kenmore, and Amana and more for customers in Islip. If you are unsure about your model, send us the model number and we will confirm we can help.
H2: Repair or Replace? Advice for Islip Residents
Washers typically last 10 to 14 years. Bearing and tub failures on older machines often cost more than they are worth, while pumps, switches, belts and valves are usually sound repairs.
H2: Why Islip Customers Choose [BUSINESS NAME]
As a Suffolk County company, we know the area and the homes in it. We provide upfront quotes, treat your home with care and explain the problem clearly. Licensing and insurance: [INSERT DETAILS]. Customers in Islip call us because we respect their time and their budget.
H2: Washing Machine Repair FAQs for Islip
Q: Do you provide washing machine repair in Islip?
A: Yes. We serve Islip and nearby areas including Islip, East Islip, Islip Terrace, and Bay Shore. Contact us to confirm availability for your address.
Q: How soon can you come to Islip for washing machine repair?
A: Availability varies by day. [INSERT YOUR SAME-DAY / NEXT-DAY POLICY]. We will offer the earliest window we have.
Q: How much does washing machine repair cost in Islip?
A: We diagnose the issue first and give a written price before starting, so there are no surprises. [INSERT DIAGNOSTIC FEE POLICY].
Q: Why is my washing machine not draining?
A: A blocked pump filter or hose, or a failed drain pump, is the most common cause. A technician can clear or replace these quickly.
Q: Is it worth fixing a washing machine?
A: Usually yes if it is under eight years old and the fault is a pump, valve, switch or belt. We compare repair cost against replacement so you can decide.
H2: Book Washing Machine Repair in Islip Today
Call [PHONE] or request service online. Our team will get your washer working again.
H2: Preparing for Your Islip Service Visit
A few simple steps help the technician work faster. Clear the area around your washer so there is room to work, note when the problem started and any error codes, and keep the model number handy. If the appliance is leaking, switch off its power and water supply where it is safe to do so. For apartment and condo buildings in Islip, let us know about parking, access or building rules in advance so your appointment runs smoothly.</t>
  </si>
  <si>
    <t xml:space="preserve">Washing Machine Repair Suffolk County -&gt; /washer-repair/
Appliance Repair Islip -&gt; /appliance-repair-islip-ny/
Washing Machine Repair in Babylon, NY -&gt; /washer-repair/babylon-ny/
Washing Machine Repair in Patchogue, NY -&gt; /washer-repair/patchogue-ny/
Dryer Repair in Islip -&gt; /dryer-repair/islip-ny/
Dishwasher Repair in Islip -&gt; /dishwasher-repair/islip-ny/
Contact Us -&gt; /contact/</t>
  </si>
  <si>
    <t xml:space="preserve">Town of Islip -&gt; https://www.islipny.gov/
U.S. Consumer Product Safety Commission -&gt; https://www.cpsc.gov/</t>
  </si>
  <si>
    <t xml:space="preserve">Washing Machine Repair Babylon</t>
  </si>
  <si>
    <t xml:space="preserve">/washer-repair/babylon-ny/</t>
  </si>
  <si>
    <t xml:space="preserve">Washing Machine Repair Babylon NY</t>
  </si>
  <si>
    <t xml:space="preserve">Washing Machine Repair Babylon, NY | Local Technicians</t>
  </si>
  <si>
    <t xml:space="preserve">Looking for washing machine repair in Babylon, NY? Local technicians fix leaks, drainage and spin problems. Upfront quotes. Call [PHONE].</t>
  </si>
  <si>
    <t xml:space="preserve">H1: Washing Machine Repair in Babylon, NY
The Town of Babylon covers busy South Shore villages and hamlets with a large share of well-kept single-family homes, plus apartments and rental units. When your washer fails, you need a technician who understands local homes and gets the job done right the first time. [BUSINESS NAME] provides washing machine repair in Babylon and nearby neighborhoods, covering leaks, drainage and spin problems for homeowners, renters and property managers.
Compact laundry rooms and stackable units in smaller homes and apartments mean short vent runs where lint buildup quickly reduces drying performance. That is why Babylon residents often call us for washer problems before they turn into costly breakdowns. Call [PHONE] or book online and we will arrange an appointment at your Babylon address.
H2: Washing Machine Repair Throughout Babylon
Our technicians travel to homes and businesses across Babylon, including Babylon Village, Lindenhurst, Copiague, West Babylon, North Babylon, Deer Park, and Wyandanch. Wherever you are located, we bring tools and common parts for most washer repairs to the first visit.
H2: Common Washer Problems We Fix in Babylon
H3: Won't drain or leaves water in the drum
A clogged drain pump filter, failed drain pump or kinked drain hose is the usual culprit.
H3: Won't spin or spins weakly
Worn drive belts, a faulty lid switch or door lock, a failing motor coupling or an out-of-balance load.
H3: Leaking water
Worn door boot seals, loose hoses, a cracked pump housing or a failing water inlet valve.
H3: Loud banging or grinding
Worn tub bearings, damaged shock absorbers or suspension rods, or a loose drum.
H3: Won't start or fill
A bad door latch, lid switch, water inlet valve or control board can stop the cycle before it begins.
H3: Musty odor
Mold and residue buildup in the door seal and detergent drawer, often made worse by low-temperature washing.
H2: How Babylon Homeowners Can Get the Most From Their Washer
- Leave the door ajar after each wash so the drum can dry.
- Clean the drain pump filter every few months on front-loaders.
- Use the recommended amount of HE detergent only.
- Replace rubber fill hoses every five years to prevent bursts.
H2: Our Repair Process in Babylon
We run the machine through its cycles, inspect the pump, hoses, seals, suspension and controls, then explain the fault and give a firm price. If a repair is not worthwhile, we will say so.
1. Call or book online and describe the problem with your washer.
2. We confirm your Babylon address and schedule an appointment window.
3. The technician diagnoses the fault and gives a firm quote.
4. With your approval, we repair and test the appliance.
5. You receive an invoice and warranty details: [INSERT WARRANTY].
H2: Brands We Service in Babylon
We repair washer models from Whirlpool, Maytag, GE, Samsung, LG, Electrolux, Bosch, Speed Queen, Frigidaire, Kenmore, and Amana and more for customers in Babylon. If you are unsure about your model, send us the model number and we will confirm we can help.
H2: Repair or Replace? Advice for Babylon Residents
Washers typically last 10 to 14 years. Bearing and tub failures on older machines often cost more than they are worth, while pumps, switches, belts and valves are usually sound repairs.
H2: Why Babylon Customers Choose [BUSINESS NAME]
As a Suffolk County company, we know the area and the homes in it. We provide upfront quotes, treat your home with care and explain the problem clearly. Licensing and insurance: [INSERT DETAILS]. Customers in Babylon call us because we respect their time and their budget.
H2: Washing Machine Repair FAQs for Babylon
Q: Do you provide washing machine repair in Babylon?
A: Yes. We serve Babylon and nearby areas including Babylon Village, Lindenhurst, Copiague, and West Babylon. Contact us to confirm availability for your address.
Q: How soon can you come to Babylon for washing machine repair?
A: Availability varies by day. [INSERT YOUR SAME-DAY / NEXT-DAY POLICY]. We will offer the earliest window we have.
Q: How much does washing machine repair cost in Babylon?
A: We diagnose the issue first and give a written price before starting, so there are no surprises. [INSERT DIAGNOSTIC FEE POLICY].
Q: Why is my washing machine not draining?
A: A blocked pump filter or hose, or a failed drain pump, is the most common cause. A technician can clear or replace these quickly.
Q: Is it worth fixing a washing machine?
A: Usually yes if it is under eight years old and the fault is a pump, valve, switch or belt. We compare repair cost against replacement so you can decide.
H2: Book Washing Machine Repair in Babylon Today
Call [PHONE] or request service online. Our team will get your washer working again.
H2: Preparing for Your Babylon Service Visit
A few simple steps help the technician work faster. Clear the area around your washer so there is room to work, note when the problem started and any error codes, and keep the model number handy. If the appliance is leaking, switch off its power and water supply where it is safe to do so. For apartment and condo buildings in Babylon, let us know about parking, access or building rules in advance so your appointment runs smoothly.</t>
  </si>
  <si>
    <t xml:space="preserve">Washing Machine Repair Suffolk County -&gt; /washer-repair/
Appliance Repair Babylon -&gt; /appliance-repair-babylon-ny/
Washing Machine Repair in Islip, NY -&gt; /washer-repair/islip-ny/
Dryer Repair in Babylon -&gt; /dryer-repair/babylon-ny/
Dishwasher Repair in Babylon -&gt; /dishwasher-repair/babylon-ny/
Contact Us -&gt; /contact/</t>
  </si>
  <si>
    <t xml:space="preserve">Town of Babylon -&gt; https://www.townofbabylon.com/
U.S. Consumer Product Safety Commission -&gt; https://www.cpsc.gov/</t>
  </si>
  <si>
    <t xml:space="preserve">Washing Machine Repair Patchogue</t>
  </si>
  <si>
    <t xml:space="preserve">/washer-repair/patchogue-ny/</t>
  </si>
  <si>
    <t xml:space="preserve">Washing Machine Repair Patchogue NY</t>
  </si>
  <si>
    <t xml:space="preserve">Washing Machine Repair Patchogue, NY | Local Technicians</t>
  </si>
  <si>
    <t xml:space="preserve">Looking for washing machine repair in Patchogue, NY? Local technicians fix leaks, drainage and spin problems. Upfront quotes. Call [PHONE].</t>
  </si>
  <si>
    <t xml:space="preserve">H1: Washing Machine Repair in Patchogue, NY
Patchogue is a lively waterfront village with a walkable downtown, surrounded by neighborhoods of single-family homes, condos and apartments. When your washer fails, you need a technician who understands local homes and gets the job done right the first time. [BUSINESS NAME] provides washing machine repair in Patchogue and nearby neighborhoods, covering leaks, drainage and spin problems for homeowners, renters and property managers.
Condos and multi-unit buildings often use stackable washers and dryers or combo units, which need compact-model parts and careful diagnostics. That is why Patchogue residents often call us for washer problems before they turn into costly breakdowns. Call [PHONE] or book online and we will arrange an appointment at your Patchogue address.
H2: Washing Machine Repair Throughout Patchogue
Our technicians travel to homes and businesses across Patchogue, including Patchogue Village, East Patchogue, North Patchogue, Blue Point, Bellport, Medford, and Holbrook. Wherever you are located, we bring tools and common parts for most washer repairs to the first visit.
H2: Common Washer Problems We Fix in Patchogue
H3: Won't drain or leaves water in the drum
A clogged drain pump filter, failed drain pump or kinked drain hose is the usual culprit.
H3: Won't spin or spins weakly
Worn drive belts, a faulty lid switch or door lock, a failing motor coupling or an out-of-balance load.
H3: Leaking water
Worn door boot seals, loose hoses, a cracked pump housing or a failing water inlet valve.
H3: Loud banging or grinding
Worn tub bearings, damaged shock absorbers or suspension rods, or a loose drum.
H3: Won't start or fill
A bad door latch, lid switch, water inlet valve or control board can stop the cycle before it begins.
H3: Musty odor
Mold and residue buildup in the door seal and detergent drawer, often made worse by low-temperature washing.
H2: How Patchogue Homeowners Can Get the Most From Their Washer
- Leave the door ajar after each wash so the drum can dry.
- Clean the drain pump filter every few months on front-loaders.
- Use the recommended amount of HE detergent only.
- Replace rubber fill hoses every five years to prevent bursts.
H2: Our Repair Process in Patchogue
We run the machine through its cycles, inspect the pump, hoses, seals, suspension and controls, then explain the fault and give a firm price. If a repair is not worthwhile, we will say so.
1. Call or book online and describe the problem with your washer.
2. We confirm your Patchogue address and schedule an appointment window.
3. The technician diagnoses the fault and gives a firm quote.
4. With your approval, we repair and test the appliance.
5. You receive an invoice and warranty details: [INSERT WARRANTY].
H2: Brands We Service in Patchogue
We repair washer models from Whirlpool, Maytag, GE, Samsung, LG, Electrolux, Bosch, Speed Queen, Frigidaire, Kenmore, and Amana and more for customers in Patchogue. If you are unsure about your model, send us the model number and we will confirm we can help.
H2: Repair or Replace? Advice for Patchogue Residents
Washers typically last 10 to 14 years. Bearing and tub failures on older machines often cost more than they are worth, while pumps, switches, belts and valves are usually sound repairs.
H2: Why Patchogue Customers Choose [BUSINESS NAME]
As a Suffolk County company, we know the area and the homes in it. We provide upfront quotes, treat your home with care and explain the problem clearly. Licensing and insurance: [INSERT DETAILS]. Customers in Patchogue call us because we respect their time and their budget.
H2: Washing Machine Repair FAQs for Patchogue
Q: Do you provide washing machine repair in Patchogue?
A: Yes. We serve Patchogue and nearby areas including Patchogue Village, East Patchogue, North Patchogue, and Blue Point. Contact us to confirm availability for your address.
Q: How soon can you come to Patchogue for washing machine repair?
A: Availability varies by day. [INSERT YOUR SAME-DAY / NEXT-DAY POLICY]. We will offer the earliest window we have.
Q: How much does washing machine repair cost in Patchogue?
A: We diagnose the issue first and give a written price before starting, so there are no surprises. [INSERT DIAGNOSTIC FEE POLICY].
Q: Why is my washing machine not draining?
A: A blocked pump filter or hose, or a failed drain pump, is the most common cause. A technician can clear or replace these quickly.
Q: Is it worth fixing a washing machine?
A: Usually yes if it is under eight years old and the fault is a pump, valve, switch or belt. We compare repair cost against replacement so you can decide.
H2: Book Washing Machine Repair in Patchogue Today
Call [PHONE] or request service online. Our team will get your washer working again.
H2: Preparing for Your Patchogue Service Visit
A few simple steps help the technician work faster. Clear the area around your washer so there is room to work, note when the problem started and any error codes, and keep the model number handy. If the appliance is leaking, switch off its power and water supply where it is safe to do so. For apartment and condo buildings in Patchogue, let us know about parking, access or building rules in advance so your appointment runs smoothly.</t>
  </si>
  <si>
    <t xml:space="preserve">Washing Machine Repair Suffolk County -&gt; /washer-repair/
Appliance Repair Patchogue -&gt; /appliance-repair-patchogue-ny/
Washing Machine Repair in Islip, NY -&gt; /washer-repair/islip-ny/
Dryer Repair in Patchogue -&gt; /dryer-repair/patchogue-ny/
Dishwasher Repair in Patchogue -&gt; /dishwasher-repair/patchogue-ny/
Contact Us -&gt; /contact/</t>
  </si>
  <si>
    <t xml:space="preserve">Town of Brookhaven -&gt; https://www.brookhavenny.gov/
U.S. Consumer Product Safety Commission -&gt; https://www.cpsc.gov/</t>
  </si>
  <si>
    <t xml:space="preserve">Dryer Repair Huntington</t>
  </si>
  <si>
    <t xml:space="preserve">/dryer-repair/huntington-ny/</t>
  </si>
  <si>
    <t xml:space="preserve">Dryer Repair Huntington NY</t>
  </si>
  <si>
    <t xml:space="preserve">Dryer Repair Huntington, NY | Local Technicians</t>
  </si>
  <si>
    <t xml:space="preserve">Looking for dryer repair in Huntington, NY? Local technicians fix no-heat, long drying times and noise. Upfront quotes. Call [PHONE].</t>
  </si>
  <si>
    <t xml:space="preserve">H1: Dryer Repair in Huntington, NY
Huntington blends a walkable historic village with established North Shore neighborhoods, many of them with older kitchens, finished basements and a mix of classic and high-end appliances. When your dryer fails, you need a technician who understands local homes and gets the job done right the first time. [BUSINESS NAME] provides dryer repair in Huntington and nearby neighborhoods, covering no-heat, long drying times and noise for homeowners, renters and property managers.
Many Huntington homes have laundry in basements or tight closets, where long dryer vent runs and limited airflow cause overheating and slow drying. That is why Huntington residents often call us for dryer problems before they turn into costly breakdowns. Call [PHONE] or book online and we will arrange an appointment at your Huntington address.
H2: Dryer Repair Throughout Huntington
Our technicians travel to homes and businesses across Huntington, including Huntington Village, Huntington Station, Greenlawn, Halesite, Cold Spring Harbor, Melville, South Huntington, and Dix Hills. Wherever you are located, we bring tools and common parts for most dryer repairs to the first visit.
H2: Common Dryer Problems We Fix in Huntington
H3: No heat
A failed heating element, thermal fuse, gas igniter or thermostat is the usual cause.
H3: Takes too long to dry
Clogged lint screens and vent lines are common, along with weak heating components or a failing thermostat.
H3: Won't start
A blown thermal fuse, faulty start switch, door switch or motor can leave the dryer dead.
H3: Drum won't turn
A broken drive belt, worn idler pulley or failing motor stops the drum from rotating.
H3: Loud thumping, squealing or scraping
Worn drum rollers, glides, belts or bearings.
H3: Burning smell or very hot exterior
Restricted airflow or lint buildup, which should be addressed immediately.
H2: How Huntington Homeowners Can Get the Most From Their Dryer
- Clean the lint screen after every load.
- Have the vent line cleaned once a year, or more often with long vent runs.
- Do not run the dryer when no one is home.
- Never overload the drum, which strains the motor and belt.
H2: Our Repair Process in Huntington
We test heat, airflow and electrical components, check the vent run for restrictions and replace failed parts. Because blocked vents cause many failures, we point out any airflow problems we find.
1. Call or book online and describe the problem with your dryer.
2. We confirm your Huntington address and schedule an appointment window.
3. The technician diagnoses the fault and gives a firm quote.
4. With your approval, we repair and test the appliance.
5. You receive an invoice and warranty details: [INSERT WARRANTY].
H2: Brands We Service in Huntington
We repair dryer models from Whirlpool, Maytag, GE, Samsung, LG, Electrolux, Frigidaire, Kenmore, Speed Queen, Amana, and Bosch and more for customers in Huntington. If you are unsure about your model, send us the model number and we will confirm we can help.
H2: Repair or Replace? Advice for Huntington Residents
Dryers often last 10 to 13 years. Simple, inexpensive parts such as fuses, belts and elements make repair a good value, while major motor or control failures on very old units may not.
H2: Why Huntington Customers Choose [BUSINESS NAME]
As a Suffolk County company, we know the area and the homes in it. We provide upfront quotes, treat your home with care and explain the problem clearly. Licensing and insurance: [INSERT DETAILS]. Customers in Huntington call us because we respect their time and their budget.
H2: Dryer Repair FAQs for Huntington
Q: Do you provide dryer repair in Huntington?
A: Yes. We serve Huntington and nearby areas including Huntington Village, Huntington Station, Greenlawn, and Halesite. Contact us to confirm availability for your address.
Q: How soon can you come to Huntington for dryer repair?
A: Availability varies by day. [INSERT YOUR SAME-DAY / NEXT-DAY POLICY]. We will offer the earliest window we have.
Q: How much does dryer repair cost in Huntington?
A: We diagnose the issue first and give a written price before starting, so there are no surprises. [INSERT DIAGNOSTIC FEE POLICY].
Q: Why is my dryer running but not heating?
A: In electric dryers it is often the heating element or thermal fuse; in gas dryers it is typically the igniter or gas valve coils.
Q: Why does my dryer take so long to dry clothes?
A: Restricted airflow from lint in the vent line is the most common reason, followed by a weak heating element or thermostat.
H2: Book Dryer Repair in Huntington Today
Call [PHONE] or request service online. Our team will get your dryer working again.
H2: Preparing for Your Huntington Service Visit
A few simple steps help the technician work faster. Clear the area around your dryer so there is room to work, note when the problem started and any error codes, and keep the model number handy. If the appliance is leaking, switch off its power and water supply where it is safe to do so. For apartment and condo buildings in Huntington, let us know about parking, access or building rules in advance so your appointment runs smoothly.</t>
  </si>
  <si>
    <t xml:space="preserve">Dryer Repair Suffolk County -&gt; /dryer-repair/
Appliance Repair Huntington -&gt; /appliance-repair-huntington-ny/
Dryer Repair in Smithtown, NY -&gt; /dryer-repair/smithtown-ny/
Washing Machine Repair in Huntington -&gt; /washer-repair/huntington-ny/
Dishwasher Repair in Huntington -&gt; /dishwasher-repair/huntington-ny/
Contact Us -&gt; /contact/</t>
  </si>
  <si>
    <t xml:space="preserve">Dryer Repair Smithtown</t>
  </si>
  <si>
    <t xml:space="preserve">/dryer-repair/smithtown-ny/</t>
  </si>
  <si>
    <t xml:space="preserve">Dryer Repair Smithtown NY</t>
  </si>
  <si>
    <t xml:space="preserve">Dryer Repair Smithtown, NY | Local Technicians</t>
  </si>
  <si>
    <t xml:space="preserve">Looking for dryer repair in Smithtown, NY? Local technicians fix no-heat, long drying times and noise. Upfront quotes. Call [PHONE].</t>
  </si>
  <si>
    <t xml:space="preserve">H1: Dryer Repair in Smithtown, NY
Smithtown is largely suburban, with family-sized homes, busy kitchens and households that run several appliances every single day. When your dryer fails, you need a technician who understands local homes and gets the job done right the first time. [BUSINESS NAME] provides dryer repair in Smithtown and nearby neighborhoods, covering no-heat, long drying times and noise for homeowners, renters and property managers.
High-volume family laundry puts constant strain on washer bearings, drain pumps, dryer belts and heating elements. That is why Smithtown residents often call us for dryer problems before they turn into costly breakdowns. Call [PHONE] or book online and we will arrange an appointment at your Smithtown address.
H2: Dryer Repair Throughout Smithtown
Our technicians travel to homes and businesses across Smithtown, including Smithtown, Kings Park, St. James, Nesconset, Hauppauge, Fort Salonga, and Head of the Harbor. Wherever you are located, we bring tools and common parts for most dryer repairs to the first visit.
H2: Common Dryer Problems We Fix in Smithtown
H3: No heat
A failed heating element, thermal fuse, gas igniter or thermostat is the usual cause.
H3: Takes too long to dry
Clogged lint screens and vent lines are common, along with weak heating components or a failing thermostat.
H3: Won't start
A blown thermal fuse, faulty start switch, door switch or motor can leave the dryer dead.
H3: Drum won't turn
A broken drive belt, worn idler pulley or failing motor stops the drum from rotating.
H3: Loud thumping, squealing or scraping
Worn drum rollers, glides, belts or bearings.
H3: Burning smell or very hot exterior
Restricted airflow or lint buildup, which should be addressed immediately.
H2: How Smithtown Homeowners Can Get the Most From Their Dryer
- Clean the lint screen after every load.
- Have the vent line cleaned once a year, or more often with long vent runs.
- Do not run the dryer when no one is home.
- Never overload the drum, which strains the motor and belt.
H2: Our Repair Process in Smithtown
We test heat, airflow and electrical components, check the vent run for restrictions and replace failed parts. Because blocked vents cause many failures, we point out any airflow problems we find.
1. Call or book online and describe the problem with your dryer.
2. We confirm your Smithtown address and schedule an appointment window.
3. The technician diagnoses the fault and gives a firm quote.
4. With your approval, we repair and test the appliance.
5. You receive an invoice and warranty details: [INSERT WARRANTY].
H2: Brands We Service in Smithtown
We repair dryer models from Whirlpool, Maytag, GE, Samsung, LG, Electrolux, Frigidaire, Kenmore, Speed Queen, Amana, and Bosch and more for customers in Smithtown. If you are unsure about your model, send us the model number and we will confirm we can help.
H2: Repair or Replace? Advice for Smithtown Residents
Dryers often last 10 to 13 years. Simple, inexpensive parts such as fuses, belts and elements make repair a good value, while major motor or control failures on very old units may not.
H2: Why Smithtown Customers Choose [BUSINESS NAME]
As a Suffolk County company, we know the area and the homes in it. We provide upfront quotes, treat your home with care and explain the problem clearly. Licensing and insurance: [INSERT DETAILS]. Customers in Smithtown call us because we respect their time and their budget.
H2: Dryer Repair FAQs for Smithtown
Q: Do you provide dryer repair in Smithtown?
A: Yes. We serve Smithtown and nearby areas including Smithtown, Kings Park, St. James, and Nesconset. Contact us to confirm availability for your address.
Q: How soon can you come to Smithtown for dryer repair?
A: Availability varies by day. [INSERT YOUR SAME-DAY / NEXT-DAY POLICY]. We will offer the earliest window we have.
Q: How much does dryer repair cost in Smithtown?
A: We diagnose the issue first and give a written price before starting, so there are no surprises. [INSERT DIAGNOSTIC FEE POLICY].
Q: Why is my dryer running but not heating?
A: In electric dryers it is often the heating element or thermal fuse; in gas dryers it is typically the igniter or gas valve coils.
Q: Why does my dryer take so long to dry clothes?
A: Restricted airflow from lint in the vent line is the most common reason, followed by a weak heating element or thermostat.
H2: Book Dryer Repair in Smithtown Today
Call [PHONE] or request service online. Our team will get your dryer working again.
H2: Preparing for Your Smithtown Service Visit
A few simple steps help the technician work faster. Clear the area around your dryer so there is room to work, note when the problem started and any error codes, and keep the model number handy. If the appliance is leaking, switch off its power and water supply where it is safe to do so. For apartment and condo buildings in Smithtown, let us know about parking, access or building rules in advance so your appointment runs smoothly.
H2: Other Appliance Repair Services in Smithtown
Often one appliance failing is a sign that others in the home are due for a check. In Smithtown we also repair washing machine, dishwasher, and stove &amp; range, along with every other appliance listed on our services page. Combining repairs in one visit can save you time.</t>
  </si>
  <si>
    <t xml:space="preserve">Dryer Repair Suffolk County -&gt; /dryer-repair/
Appliance Repair Smithtown -&gt; /appliance-repair-smithtown-ny/
Dryer Repair in Huntington, NY -&gt; /dryer-repair/huntington-ny/
Dryer Repair in Islip, NY -&gt; /dryer-repair/islip-ny/
Washing Machine Repair in Smithtown -&gt; /washer-repair/smithtown-ny/
Dishwasher Repair in Smithtown -&gt; /dishwasher-repair/smithtown-ny/
Contact Us -&gt; /contact/</t>
  </si>
  <si>
    <t xml:space="preserve">Dryer Repair Islip</t>
  </si>
  <si>
    <t xml:space="preserve">/dryer-repair/islip-ny/</t>
  </si>
  <si>
    <t xml:space="preserve">Dryer Repair Islip NY</t>
  </si>
  <si>
    <t xml:space="preserve">Dryer Repair Islip, NY | Local Technicians</t>
  </si>
  <si>
    <t xml:space="preserve">Looking for dryer repair in Islip, NY? Local technicians fix no-heat, long drying times and noise. Upfront quotes. Call [PHONE].</t>
  </si>
  <si>
    <t xml:space="preserve">H1: Dryer Repair in Islip, NY
Islip stretches across the South Shore, from waterfront communities near the Great South Bay to inland neighborhoods, with a wide mix of single-family homes, condos and rentals. When your dryer fails, you need a technician who understands local homes and gets the job done right the first time. [BUSINESS NAME] provides dryer repair in Islip and nearby neighborhoods, covering no-heat, long drying times and noise for homeowners, renters and property managers.
Coastal humidity and salt air can shorten the life of metal components, and clogged dryer vents lengthen drying cycles in homes of every age. That is why Islip residents often call us for dryer problems before they turn into costly breakdowns. Call [PHONE] or book online and we will arrange an appointment at your Islip address.
H2: Dryer Repair Throughout Islip
Our technicians travel to homes and businesses across Islip, including Islip, East Islip, Islip Terrace, Bay Shore, Brentwood, Central Islip, Sayville, and Great River. Wherever you are located, we bring tools and common parts for most dryer repairs to the first visit.
H2: Common Dryer Problems We Fix in Islip
H3: No heat
A failed heating element, thermal fuse, gas igniter or thermostat is the usual cause.
H3: Takes too long to dry
Clogged lint screens and vent lines are common, along with weak heating components or a failing thermostat.
H3: Won't start
A blown thermal fuse, faulty start switch, door switch or motor can leave the dryer dead.
H3: Drum won't turn
A broken drive belt, worn idler pulley or failing motor stops the drum from rotating.
H3: Loud thumping, squealing or scraping
Worn drum rollers, glides, belts or bearings.
H3: Burning smell or very hot exterior
Restricted airflow or lint buildup, which should be addressed immediately.
H2: How Islip Homeowners Can Get the Most From Their Dryer
- Clean the lint screen after every load.
- Have the vent line cleaned once a year, or more often with long vent runs.
- Do not run the dryer when no one is home.
- Never overload the drum, which strains the motor and belt.
H2: Our Repair Process in Islip
We test heat, airflow and electrical components, check the vent run for restrictions and replace failed parts. Because blocked vents cause many failures, we point out any airflow problems we find.
1. Call or book online and describe the problem with your dryer.
2. We confirm your Islip address and schedule an appointment window.
3. The technician diagnoses the fault and gives a firm quote.
4. With your approval, we repair and test the appliance.
5. You receive an invoice and warranty details: [INSERT WARRANTY].
H2: Brands We Service in Islip
We repair dryer models from Whirlpool, Maytag, GE, Samsung, LG, Electrolux, Frigidaire, Kenmore, Speed Queen, Amana, and Bosch and more for customers in Islip. If you are unsure about your model, send us the model number and we will confirm we can help.
H2: Repair or Replace? Advice for Islip Residents
Dryers often last 10 to 13 years. Simple, inexpensive parts such as fuses, belts and elements make repair a good value, while major motor or control failures on very old units may not.
H2: Why Islip Customers Choose [BUSINESS NAME]
As a Suffolk County company, we know the area and the homes in it. We provide upfront quotes, treat your home with care and explain the problem clearly. Licensing and insurance: [INSERT DETAILS]. Customers in Islip call us because we respect their time and their budget.
H2: Dryer Repair FAQs for Islip
Q: Do you provide dryer repair in Islip?
A: Yes. We serve Islip and nearby areas including Islip, East Islip, Islip Terrace, and Bay Shore. Contact us to confirm availability for your address.
Q: How soon can you come to Islip for dryer repair?
A: Availability varies by day. [INSERT YOUR SAME-DAY / NEXT-DAY POLICY]. We will offer the earliest window we have.
Q: How much does dryer repair cost in Islip?
A: We diagnose the issue first and give a written price before starting, so there are no surprises. [INSERT DIAGNOSTIC FEE POLICY].
Q: Why is my dryer running but not heating?
A: In electric dryers it is often the heating element or thermal fuse; in gas dryers it is typically the igniter or gas valve coils.
Q: Why does my dryer take so long to dry clothes?
A: Restricted airflow from lint in the vent line is the most common reason, followed by a weak heating element or thermostat.
H2: Book Dryer Repair in Islip Today
Call [PHONE] or request service online. Our team will get your dryer working again.
H2: Preparing for Your Islip Service Visit
A few simple steps help the technician work faster. Clear the area around your dryer so there is room to work, note when the problem started and any error codes, and keep the model number handy. If the appliance is leaking, switch off its power and water supply where it is safe to do so. For apartment and condo buildings in Islip, let us know about parking, access or building rules in advance so your appointment runs smoothly.</t>
  </si>
  <si>
    <t xml:space="preserve">Dryer Repair Suffolk County -&gt; /dryer-repair/
Appliance Repair Islip -&gt; /appliance-repair-islip-ny/
Dryer Repair in Babylon, NY -&gt; /dryer-repair/babylon-ny/
Dryer Repair in Patchogue, NY -&gt; /dryer-repair/patchogue-ny/
Washing Machine Repair in Islip -&gt; /washer-repair/islip-ny/
Dishwasher Repair in Islip -&gt; /dishwasher-repair/islip-ny/
Contact Us -&gt; /contact/</t>
  </si>
  <si>
    <t xml:space="preserve">Dryer Repair Babylon</t>
  </si>
  <si>
    <t xml:space="preserve">/dryer-repair/babylon-ny/</t>
  </si>
  <si>
    <t xml:space="preserve">Dryer Repair Babylon NY</t>
  </si>
  <si>
    <t xml:space="preserve">Dryer Repair Babylon, NY | Local Technicians</t>
  </si>
  <si>
    <t xml:space="preserve">Looking for dryer repair in Babylon, NY? Local technicians fix no-heat, long drying times and noise. Upfront quotes. Call [PHONE].</t>
  </si>
  <si>
    <t xml:space="preserve">H1: Dryer Repair in Babylon, NY
The Town of Babylon covers busy South Shore villages and hamlets with a large share of well-kept single-family homes, plus apartments and rental units. When your dryer fails, you need a technician who understands local homes and gets the job done right the first time. [BUSINESS NAME] provides dryer repair in Babylon and nearby neighborhoods, covering no-heat, long drying times and noise for homeowners, renters and property managers.
Compact laundry rooms and stackable units in smaller homes and apartments mean short vent runs where lint buildup quickly reduces drying performance. That is why Babylon residents often call us for dryer problems before they turn into costly breakdowns. Call [PHONE] or book online and we will arrange an appointment at your Babylon address.
H2: Dryer Repair Throughout Babylon
Our technicians travel to homes and businesses across Babylon, including Babylon Village, Lindenhurst, Copiague, West Babylon, North Babylon, Deer Park, and Wyandanch. Wherever you are located, we bring tools and common parts for most dryer repairs to the first visit.
H2: Common Dryer Problems We Fix in Babylon
H3: No heat
A failed heating element, thermal fuse, gas igniter or thermostat is the usual cause.
H3: Takes too long to dry
Clogged lint screens and vent lines are common, along with weak heating components or a failing thermostat.
H3: Won't start
A blown thermal fuse, faulty start switch, door switch or motor can leave the dryer dead.
H3: Drum won't turn
A broken drive belt, worn idler pulley or failing motor stops the drum from rotating.
H3: Loud thumping, squealing or scraping
Worn drum rollers, glides, belts or bearings.
H3: Burning smell or very hot exterior
Restricted airflow or lint buildup, which should be addressed immediately.
H2: How Babylon Homeowners Can Get the Most From Their Dryer
- Clean the lint screen after every load.
- Have the vent line cleaned once a year, or more often with long vent runs.
- Do not run the dryer when no one is home.
- Never overload the drum, which strains the motor and belt.
H2: Our Repair Process in Babylon
We test heat, airflow and electrical components, check the vent run for restrictions and replace failed parts. Because blocked vents cause many failures, we point out any airflow problems we find.
1. Call or book online and describe the problem with your dryer.
2. We confirm your Babylon address and schedule an appointment window.
3. The technician diagnoses the fault and gives a firm quote.
4. With your approval, we repair and test the appliance.
5. You receive an invoice and warranty details: [INSERT WARRANTY].
H2: Brands We Service in Babylon
We repair dryer models from Whirlpool, Maytag, GE, Samsung, LG, Electrolux, Frigidaire, Kenmore, Speed Queen, Amana, and Bosch and more for customers in Babylon. If you are unsure about your model, send us the model number and we will confirm we can help.
H2: Repair or Replace? Advice for Babylon Residents
Dryers often last 10 to 13 years. Simple, inexpensive parts such as fuses, belts and elements make repair a good value, while major motor or control failures on very old units may not.
H2: Why Babylon Customers Choose [BUSINESS NAME]
As a Suffolk County company, we know the area and the homes in it. We provide upfront quotes, treat your home with care and explain the problem clearly. Licensing and insurance: [INSERT DETAILS]. Customers in Babylon call us because we respect their time and their budget.
H2: Dryer Repair FAQs for Babylon
Q: Do you provide dryer repair in Babylon?
A: Yes. We serve Babylon and nearby areas including Babylon Village, Lindenhurst, Copiague, and West Babylon. Contact us to confirm availability for your address.
Q: How soon can you come to Babylon for dryer repair?
A: Availability varies by day. [INSERT YOUR SAME-DAY / NEXT-DAY POLICY]. We will offer the earliest window we have.
Q: How much does dryer repair cost in Babylon?
A: We diagnose the issue first and give a written price before starting, so there are no surprises. [INSERT DIAGNOSTIC FEE POLICY].
Q: Why is my dryer running but not heating?
A: In electric dryers it is often the heating element or thermal fuse; in gas dryers it is typically the igniter or gas valve coils.
Q: Why does my dryer take so long to dry clothes?
A: Restricted airflow from lint in the vent line is the most common reason, followed by a weak heating element or thermostat.
H2: Book Dryer Repair in Babylon Today
Call [PHONE] or request service online. Our team will get your dryer working again.
H2: Preparing for Your Babylon Service Visit
A few simple steps help the technician work faster. Clear the area around your dryer so there is room to work, note when the problem started and any error codes, and keep the model number handy. If the appliance is leaking, switch off its power and water supply where it is safe to do so. For apartment and condo buildings in Babylon, let us know about parking, access or building rules in advance so your appointment runs smoothly.</t>
  </si>
  <si>
    <t xml:space="preserve">Dryer Repair Suffolk County -&gt; /dryer-repair/
Appliance Repair Babylon -&gt; /appliance-repair-babylon-ny/
Dryer Repair in Islip, NY -&gt; /dryer-repair/islip-ny/
Washing Machine Repair in Babylon -&gt; /washer-repair/babylon-ny/
Dishwasher Repair in Babylon -&gt; /dishwasher-repair/babylon-ny/
Contact Us -&gt; /contact/</t>
  </si>
  <si>
    <t xml:space="preserve">Dryer Repair Patchogue</t>
  </si>
  <si>
    <t xml:space="preserve">/dryer-repair/patchogue-ny/</t>
  </si>
  <si>
    <t xml:space="preserve">Dryer Repair Patchogue NY</t>
  </si>
  <si>
    <t xml:space="preserve">Dryer Repair Patchogue, NY | Local Technicians</t>
  </si>
  <si>
    <t xml:space="preserve">Looking for dryer repair in Patchogue, NY? Local technicians fix no-heat, long drying times and noise. Upfront quotes. Call [PHONE].</t>
  </si>
  <si>
    <t xml:space="preserve">H1: Dryer Repair in Patchogue, NY
Patchogue is a lively waterfront village with a walkable downtown, surrounded by neighborhoods of single-family homes, condos and apartments. When your dryer fails, you need a technician who understands local homes and gets the job done right the first time. [BUSINESS NAME] provides dryer repair in Patchogue and nearby neighborhoods, covering no-heat, long drying times and noise for homeowners, renters and property managers.
Condos and multi-unit buildings often use stackable washers and dryers or combo units, which need compact-model parts and careful diagnostics. That is why Patchogue residents often call us for dryer problems before they turn into costly breakdowns. Call [PHONE] or book online and we will arrange an appointment at your Patchogue address.
H2: Dryer Repair Throughout Patchogue
Our technicians travel to homes and businesses across Patchogue, including Patchogue Village, East Patchogue, North Patchogue, Blue Point, Bellport, Medford, and Holbrook. Wherever you are located, we bring tools and common parts for most dryer repairs to the first visit.
H2: Common Dryer Problems We Fix in Patchogue
H3: No heat
A failed heating element, thermal fuse, gas igniter or thermostat is the usual cause.
H3: Takes too long to dry
Clogged lint screens and vent lines are common, along with weak heating components or a failing thermostat.
H3: Won't start
A blown thermal fuse, faulty start switch, door switch or motor can leave the dryer dead.
H3: Drum won't turn
A broken drive belt, worn idler pulley or failing motor stops the drum from rotating.
H3: Loud thumping, squealing or scraping
Worn drum rollers, glides, belts or bearings.
H3: Burning smell or very hot exterior
Restricted airflow or lint buildup, which should be addressed immediately.
H2: How Patchogue Homeowners Can Get the Most From Their Dryer
- Clean the lint screen after every load.
- Have the vent line cleaned once a year, or more often with long vent runs.
- Do not run the dryer when no one is home.
- Never overload the drum, which strains the motor and belt.
H2: Our Repair Process in Patchogue
We test heat, airflow and electrical components, check the vent run for restrictions and replace failed parts. Because blocked vents cause many failures, we point out any airflow problems we find.
1. Call or book online and describe the problem with your dryer.
2. We confirm your Patchogue address and schedule an appointment window.
3. The technician diagnoses the fault and gives a firm quote.
4. With your approval, we repair and test the appliance.
5. You receive an invoice and warranty details: [INSERT WARRANTY].
H2: Brands We Service in Patchogue
We repair dryer models from Whirlpool, Maytag, GE, Samsung, LG, Electrolux, Frigidaire, Kenmore, Speed Queen, Amana, and Bosch and more for customers in Patchogue. If you are unsure about your model, send us the model number and we will confirm we can help.
H2: Repair or Replace? Advice for Patchogue Residents
Dryers often last 10 to 13 years. Simple, inexpensive parts such as fuses, belts and elements make repair a good value, while major motor or control failures on very old units may not.
H2: Why Patchogue Customers Choose [BUSINESS NAME]
As a Suffolk County company, we know the area and the homes in it. We provide upfront quotes, treat your home with care and explain the problem clearly. Licensing and insurance: [INSERT DETAILS]. Customers in Patchogue call us because we respect their time and their budget.
H2: Dryer Repair FAQs for Patchogue
Q: Do you provide dryer repair in Patchogue?
A: Yes. We serve Patchogue and nearby areas including Patchogue Village, East Patchogue, North Patchogue, and Blue Point. Contact us to confirm availability for your address.
Q: How soon can you come to Patchogue for dryer repair?
A: Availability varies by day. [INSERT YOUR SAME-DAY / NEXT-DAY POLICY]. We will offer the earliest window we have.
Q: How much does dryer repair cost in Patchogue?
A: We diagnose the issue first and give a written price before starting, so there are no surprises. [INSERT DIAGNOSTIC FEE POLICY].
Q: Why is my dryer running but not heating?
A: In electric dryers it is often the heating element or thermal fuse; in gas dryers it is typically the igniter or gas valve coils.
Q: Why does my dryer take so long to dry clothes?
A: Restricted airflow from lint in the vent line is the most common reason, followed by a weak heating element or thermostat.
H2: Book Dryer Repair in Patchogue Today
Call [PHONE] or request service online. Our team will get your dryer working again.
H2: Preparing for Your Patchogue Service Visit
A few simple steps help the technician work faster. Clear the area around your dryer so there is room to work, note when the problem started and any error codes, and keep the model number handy. If the appliance is leaking, switch off its power and water supply where it is safe to do so. For apartment and condo buildings in Patchogue, let us know about parking, access or building rules in advance so your appointment runs smoothly.
H2: Other Appliance Repair Services in Patchogue
Often one appliance failing is a sign that others in the home are due for a check. In Patchogue we also repair washing machine, dishwasher, and stove &amp; range, along with every other appliance listed on our services page. Combining repairs in one visit can save you time.</t>
  </si>
  <si>
    <t xml:space="preserve">Dryer Repair Suffolk County -&gt; /dryer-repair/
Appliance Repair Patchogue -&gt; /appliance-repair-patchogue-ny/
Dryer Repair in Islip, NY -&gt; /dryer-repair/islip-ny/
Washing Machine Repair in Patchogue -&gt; /washer-repair/patchogue-ny/
Dishwasher Repair in Patchogue -&gt; /dishwasher-repair/patchogue-ny/
Contact Us -&gt; /contact/</t>
  </si>
  <si>
    <t xml:space="preserve">Dishwasher Repair Huntington</t>
  </si>
  <si>
    <t xml:space="preserve">/dishwasher-repair/huntington-ny/</t>
  </si>
  <si>
    <t xml:space="preserve">Dishwasher Repair Huntington NY</t>
  </si>
  <si>
    <t xml:space="preserve">Dishwasher Repair Huntington, NY | Local Technicians</t>
  </si>
  <si>
    <t xml:space="preserve">Looking for dishwasher repair in Huntington, NY? Local technicians fix leaks, drain issues and cleaning problems. Upfront quotes. Call [PHONE].</t>
  </si>
  <si>
    <t xml:space="preserve">H1: Dishwasher Repair in Huntington, NY
Huntington blends a walkable historic village with established North Shore neighborhoods, many of them with older kitchens, finished basements and a mix of classic and high-end appliances. When your dishwasher fails, you need a technician who understands local homes and gets the job done right the first time. [BUSINESS NAME] provides dishwasher repair in Huntington and nearby neighborhoods, covering leaks, drain issues and cleaning problems for homeowners, renters and property managers.
Established homes with older plumbing and renovated kitchens mean dishwashers and disposals have to be matched carefully to drain lines and under-sink space. That is why Huntington residents often call us for dishwasher problems before they turn into costly breakdowns. Call [PHONE] or book online and we will arrange an appointment at your Huntington address.
H2: Dishwasher Repair Throughout Huntington
Our technicians travel to homes and businesses across Huntington, including Huntington Village, Huntington Station, Greenlawn, Halesite, Cold Spring Harbor, Melville, South Huntington, and Dix Hills. Wherever you are located, we bring tools and common parts for most dishwasher repairs to the first visit.
H2: Common Dishwasher Problems We Fix in Huntington
H3: Not draining
A clogged filter, kinked drain hose, blocked disposal connection or failed drain pump.
H3: Dishes not coming out clean
Clogged spray arms, a dirty filter, a weak circulation pump or a failed inlet valve.
H3: Leaking from the door or base
A worn door gasket, loose hose clamp, cracked sump or failed pump seal.
H3: Won't start or latch
A broken door latch, faulty control board or failed switch.
H3: Won't dry dishes
A failed heating element, vent fan issue or empty rinse-aid dispenser.
H3: Strange noises
Worn pump bearings, a loose spray arm or debris caught in the pump.
H2: How Huntington Homeowners Can Get the Most From Their Dishwasher
- Scrape plates rather than pre-rinsing, but don't leave large debris.
- Clean the filter monthly.
- Run hot water at the sink before starting a cycle.
- Use rinse aid to improve drying and prevent spotting.
H2: Our Repair Process in Huntington
We inspect the filter, spray arms, pump, hoses, door seal and controls, run a test cycle to reproduce the fault and quote the repair before starting.
1. Call or book online and describe the problem with your dishwasher.
2. We confirm your Huntington address and schedule an appointment window.
3. The technician diagnoses the fault and gives a firm quote.
4. With your approval, we repair and test the appliance.
5. You receive an invoice and warranty details: [INSERT WARRANTY].
H2: Brands We Service in Huntington
We repair dishwasher models from Bosch, Whirlpool, KitchenAid, GE, Samsung, LG, Maytag, Frigidaire, Miele, Thermador, and Electrolux and more for customers in Huntington. If you are unsure about your model, send us the model number and we will confirm we can help.
H2: Repair or Replace? Advice for Huntington Residents
Dishwashers last about 9 to 12 years. Pump, valve, latch and filter repairs are cost-effective, while a failed tub or major leak on an older unit may call for replacement.
H2: Why Huntington Customers Choose [BUSINESS NAME]
As a Suffolk County company, we know the area and the homes in it. We provide upfront quotes, treat your home with care and explain the problem clearly. Licensing and insurance: [INSERT DETAILS]. Customers in Huntington call us because we respect their time and their budget.
H2: Dishwasher Repair FAQs for Huntington
Q: Do you provide dishwasher repair in Huntington?
A: Yes. We serve Huntington and nearby areas including Huntington Village, Huntington Station, Greenlawn, and Halesite. Contact us to confirm availability for your address.
Q: How soon can you come to Huntington for dishwasher repair?
A: Availability varies by day. [INSERT YOUR SAME-DAY / NEXT-DAY POLICY]. We will offer the earliest window we have.
Q: How much does dishwasher repair cost in Huntington?
A: We diagnose the issue first and give a written price before starting, so there are no surprises. [INSERT DIAGNOSTIC FEE POLICY].
Q: Why is there standing water in my dishwasher?
A: Most often a clogged filter or drain hose, a blocked garbage disposal connection or a failed drain pump.
Q: Why are my dishes still dirty after a full cycle?
A: Blocked spray arms or a dirty filter usually restrict cleaning. Low water pressure or a failing pump can also be the cause.
H2: Book Dishwasher Repair in Huntington Today
Call [PHONE] or request service online. Our team will get your dishwasher working again.
H2: Preparing for Your Huntington Service Visit
A few simple steps help the technician work faster. Clear the area around your dishwasher so there is room to work, note when the problem started and any error codes, and keep the model number handy. If the appliance is leaking, switch off its power and water supply where it is safe to do so. For apartment and condo buildings in Huntington, let us know about parking, access or building rules in advance so your appointment runs smoothly.
H2: Other Appliance Repair Services in Huntington
Often one appliance failing is a sign that others in the home are due for a check. In Huntington we also repair garbage disposal, washing machine, and oven, along with every other appliance listed on our services page. Combining repairs in one visit can save you time.</t>
  </si>
  <si>
    <t xml:space="preserve">Dishwasher Repair Suffolk County -&gt; /dishwasher-repair/
Appliance Repair Huntington -&gt; /appliance-repair-huntington-ny/
Dishwasher Repair in Smithtown, NY -&gt; /dishwasher-repair/smithtown-ny/
Garbage Disposal Repair in Huntington -&gt; /garbage-disposal-repair/huntington-ny/
Washing Machine Repair in Huntington -&gt; /washer-repair/huntington-ny/
Contact Us -&gt; /contact/</t>
  </si>
  <si>
    <t xml:space="preserve">Town of Huntington -&gt; https://www.huntingtonny.gov/
EPA WaterSense water-efficiency program -&gt; https://www.epa.gov/watersense</t>
  </si>
  <si>
    <t xml:space="preserve">Dishwasher Repair Smithtown</t>
  </si>
  <si>
    <t xml:space="preserve">/dishwasher-repair/smithtown-ny/</t>
  </si>
  <si>
    <t xml:space="preserve">Dishwasher Repair Smithtown NY</t>
  </si>
  <si>
    <t xml:space="preserve">Dishwasher Repair Smithtown, NY | Local Technicians</t>
  </si>
  <si>
    <t xml:space="preserve">Looking for dishwasher repair in Smithtown, NY? Local technicians fix leaks, drain issues and cleaning problems. Upfront quotes. Call [PHONE].</t>
  </si>
  <si>
    <t xml:space="preserve">H1: Dishwasher Repair in Smithtown, NY
Smithtown is largely suburban, with family-sized homes, busy kitchens and households that run several appliances every single day. When your dishwasher fails, you need a technician who understands local homes and gets the job done right the first time. [BUSINESS NAME] provides dishwasher repair in Smithtown and nearby neighborhoods, covering leaks, drain issues and cleaning problems for homeowners, renters and property managers.
Busy family kitchens run the dishwasher daily and rely on disposals, so drain pumps, spray arms and clogged filters are frequent causes of service calls. That is why Smithtown residents often call us for dishwasher problems before they turn into costly breakdowns. Call [PHONE] or book online and we will arrange an appointment at your Smithtown address.
H2: Dishwasher Repair Throughout Smithtown
Our technicians travel to homes and businesses across Smithtown, including Smithtown, Kings Park, St. James, Nesconset, Hauppauge, Fort Salonga, and Head of the Harbor. Wherever you are located, we bring tools and common parts for most dishwasher repairs to the first visit.
H2: Common Dishwasher Problems We Fix in Smithtown
H3: Not draining
A clogged filter, kinked drain hose, blocked disposal connection or failed drain pump.
H3: Dishes not coming out clean
Clogged spray arms, a dirty filter, a weak circulation pump or a failed inlet valve.
H3: Leaking from the door or base
A worn door gasket, loose hose clamp, cracked sump or failed pump seal.
H3: Won't start or latch
A broken door latch, faulty control board or failed switch.
H3: Won't dry dishes
A failed heating element, vent fan issue or empty rinse-aid dispenser.
H3: Strange noises
Worn pump bearings, a loose spray arm or debris caught in the pump.
H2: How Smithtown Homeowners Can Get the Most From Their Dishwasher
- Scrape plates rather than pre-rinsing, but don't leave large debris.
- Clean the filter monthly.
- Run hot water at the sink before starting a cycle.
- Use rinse aid to improve drying and prevent spotting.
H2: Our Repair Process in Smithtown
We inspect the filter, spray arms, pump, hoses, door seal and controls, run a test cycle to reproduce the fault and quote the repair before starting.
1. Call or book online and describe the problem with your dishwasher.
2. We confirm your Smithtown address and schedule an appointment window.
3. The technician diagnoses the fault and gives a firm quote.
4. With your approval, we repair and test the appliance.
5. You receive an invoice and warranty details: [INSERT WARRANTY].
H2: Brands We Service in Smithtown
We repair dishwasher models from Bosch, Whirlpool, KitchenAid, GE, Samsung, LG, Maytag, Frigidaire, Miele, Thermador, and Electrolux and more for customers in Smithtown. If you are unsure about your model, send us the model number and we will confirm we can help.
H2: Repair or Replace? Advice for Smithtown Residents
Dishwashers last about 9 to 12 years. Pump, valve, latch and filter repairs are cost-effective, while a failed tub or major leak on an older unit may call for replacement.
H2: Why Smithtown Customers Choose [BUSINESS NAME]
As a Suffolk County company, we know the area and the homes in it. We provide upfront quotes, treat your home with care and explain the problem clearly. Licensing and insurance: [INSERT DETAILS]. Customers in Smithtown call us because we respect their time and their budget.
H2: Dishwasher Repair FAQs for Smithtown
Q: Do you provide dishwasher repair in Smithtown?
A: Yes. We serve Smithtown and nearby areas including Smithtown, Kings Park, St. James, and Nesconset. Contact us to confirm availability for your address.
Q: How soon can you come to Smithtown for dishwasher repair?
A: Availability varies by day. [INSERT YOUR SAME-DAY / NEXT-DAY POLICY]. We will offer the earliest window we have.
Q: How much does dishwasher repair cost in Smithtown?
A: We diagnose the issue first and give a written price before starting, so there are no surprises. [INSERT DIAGNOSTIC FEE POLICY].
Q: Why is there standing water in my dishwasher?
A: Most often a clogged filter or drain hose, a blocked garbage disposal connection or a failed drain pump.
Q: Why are my dishes still dirty after a full cycle?
A: Blocked spray arms or a dirty filter usually restrict cleaning. Low water pressure or a failing pump can also be the cause.
H2: Book Dishwasher Repair in Smithtown Today
Call [PHONE] or request service online. Our team will get your dishwasher working again.
H2: Preparing for Your Smithtown Service Visit
A few simple steps help the technician work faster. Clear the area around your dishwasher so there is room to work, note when the problem started and any error codes, and keep the model number handy. If the appliance is leaking, switch off its power and water supply where it is safe to do so. For apartment and condo buildings in Smithtown, let us know about parking, access or building rules in advance so your appointment runs smoothly.
H2: Other Appliance Repair Services in Smithtown
Often one appliance failing is a sign that others in the home are due for a check. In Smithtown we also repair garbage disposal, washing machine, and oven, along with every other appliance listed on our services page. Combining repairs in one visit can save you time.</t>
  </si>
  <si>
    <t xml:space="preserve">Dishwasher Repair Suffolk County -&gt; /dishwasher-repair/
Appliance Repair Smithtown -&gt; /appliance-repair-smithtown-ny/
Dishwasher Repair in Huntington, NY -&gt; /dishwasher-repair/huntington-ny/
Dishwasher Repair in Islip, NY -&gt; /dishwasher-repair/islip-ny/
Garbage Disposal Repair in Smithtown -&gt; /garbage-disposal-repair/smithtown-ny/
Washing Machine Repair in Smithtown -&gt; /washer-repair/smithtown-ny/
Contact Us -&gt; /contact/</t>
  </si>
  <si>
    <t xml:space="preserve">Town of Smithtown -&gt; https://www.smithtownny.gov/
EPA WaterSense water-efficiency program -&gt; https://www.epa.gov/watersense</t>
  </si>
  <si>
    <t xml:space="preserve">Dishwasher Repair Islip</t>
  </si>
  <si>
    <t xml:space="preserve">/dishwasher-repair/islip-ny/</t>
  </si>
  <si>
    <t xml:space="preserve">Dishwasher Repair Islip NY</t>
  </si>
  <si>
    <t xml:space="preserve">Dishwasher Repair Islip, NY | Local Technicians</t>
  </si>
  <si>
    <t xml:space="preserve">Looking for dishwasher repair in Islip, NY? Local technicians fix leaks, drain issues and cleaning problems. Upfront quotes. Call [PHONE].</t>
  </si>
  <si>
    <t xml:space="preserve">H1: Dishwasher Repair in Islip, NY
Islip stretches across the South Shore, from waterfront communities near the Great South Bay to inland neighborhoods, with a wide mix of single-family homes, condos and rentals. When your dishwasher fails, you need a technician who understands local homes and gets the job done right the first time. [BUSINESS NAME] provides dishwasher repair in Islip and nearby neighborhoods, covering leaks, drain issues and cleaning problems for homeowners, renters and property managers.
A varied housing stock means plumbing and drain setups differ widely from home to home, which affects how dishwashers and disposals drain. That is why Islip residents often call us for dishwasher problems before they turn into costly breakdowns. Call [PHONE] or book online and we will arrange an appointment at your Islip address.
H2: Dishwasher Repair Throughout Islip
Our technicians travel to homes and businesses across Islip, including Islip, East Islip, Islip Terrace, Bay Shore, Brentwood, Central Islip, Sayville, and Great River. Wherever you are located, we bring tools and common parts for most dishwasher repairs to the first visit.
H2: Common Dishwasher Problems We Fix in Islip
H3: Not draining
A clogged filter, kinked drain hose, blocked disposal connection or failed drain pump.
H3: Dishes not coming out clean
Clogged spray arms, a dirty filter, a weak circulation pump or a failed inlet valve.
H3: Leaking from the door or base
A worn door gasket, loose hose clamp, cracked sump or failed pump seal.
H3: Won't start or latch
A broken door latch, faulty control board or failed switch.
H3: Won't dry dishes
A failed heating element, vent fan issue or empty rinse-aid dispenser.
H3: Strange noises
Worn pump bearings, a loose spray arm or debris caught in the pump.
H2: How Islip Homeowners Can Get the Most From Their Dishwasher
- Scrape plates rather than pre-rinsing, but don't leave large debris.
- Clean the filter monthly.
- Run hot water at the sink before starting a cycle.
- Use rinse aid to improve drying and prevent spotting.
H2: Our Repair Process in Islip
We inspect the filter, spray arms, pump, hoses, door seal and controls, run a test cycle to reproduce the fault and quote the repair before starting.
1. Call or book online and describe the problem with your dishwasher.
2. We confirm your Islip address and schedule an appointment window.
3. The technician diagnoses the fault and gives a firm quote.
4. With your approval, we repair and test the appliance.
5. You receive an invoice and warranty details: [INSERT WARRANTY].
H2: Brands We Service in Islip
We repair dishwasher models from Bosch, Whirlpool, KitchenAid, GE, Samsung, LG, Maytag, Frigidaire, Miele, Thermador, and Electrolux and more for customers in Islip. If you are unsure about your model, send us the model number and we will confirm we can help.
H2: Repair or Replace? Advice for Islip Residents
Dishwashers last about 9 to 12 years. Pump, valve, latch and filter repairs are cost-effective, while a failed tub or major leak on an older unit may call for replacement.
H2: Why Islip Customers Choose [BUSINESS NAME]
As a Suffolk County company, we know the area and the homes in it. We provide upfront quotes, treat your home with care and explain the problem clearly. Licensing and insurance: [INSERT DETAILS]. Customers in Islip call us because we respect their time and their budget.
H2: Dishwasher Repair FAQs for Islip
Q: Do you provide dishwasher repair in Islip?
A: Yes. We serve Islip and nearby areas including Islip, East Islip, Islip Terrace, and Bay Shore. Contact us to confirm availability for your address.
Q: How soon can you come to Islip for dishwasher repair?
A: Availability varies by day. [INSERT YOUR SAME-DAY / NEXT-DAY POLICY]. We will offer the earliest window we have.
Q: How much does dishwasher repair cost in Islip?
A: We diagnose the issue first and give a written price before starting, so there are no surprises. [INSERT DIAGNOSTIC FEE POLICY].
Q: Why is there standing water in my dishwasher?
A: Most often a clogged filter or drain hose, a blocked garbage disposal connection or a failed drain pump.
Q: Why are my dishes still dirty after a full cycle?
A: Blocked spray arms or a dirty filter usually restrict cleaning. Low water pressure or a failing pump can also be the cause.
H2: Book Dishwasher Repair in Islip Today
Call [PHONE] or request service online. Our team will get your dishwasher working again.
H2: Preparing for Your Islip Service Visit
A few simple steps help the technician work faster. Clear the area around your dishwasher so there is room to work, note when the problem started and any error codes, and keep the model number handy. If the appliance is leaking, switch off its power and water supply where it is safe to do so. For apartment and condo buildings in Islip, let us know about parking, access or building rules in advance so your appointment runs smoothly.
H2: Other Appliance Repair Services in Islip
Often one appliance failing is a sign that others in the home are due for a check. In Islip we also repair garbage disposal, washing machine, and oven, along with every other appliance listed on our services page. Combining repairs in one visit can save you time.</t>
  </si>
  <si>
    <t xml:space="preserve">Dishwasher Repair Suffolk County -&gt; /dishwasher-repair/
Appliance Repair Islip -&gt; /appliance-repair-islip-ny/
Dishwasher Repair in Babylon, NY -&gt; /dishwasher-repair/babylon-ny/
Dishwasher Repair in Patchogue, NY -&gt; /dishwasher-repair/patchogue-ny/
Garbage Disposal Repair in Islip -&gt; /garbage-disposal-repair/islip-ny/
Washing Machine Repair in Islip -&gt; /washer-repair/islip-ny/
Contact Us -&gt; /contact/</t>
  </si>
  <si>
    <t xml:space="preserve">Town of Islip -&gt; https://www.islipny.gov/
EPA WaterSense water-efficiency program -&gt; https://www.epa.gov/watersense</t>
  </si>
  <si>
    <t xml:space="preserve">Dishwasher Repair Babylon</t>
  </si>
  <si>
    <t xml:space="preserve">/dishwasher-repair/babylon-ny/</t>
  </si>
  <si>
    <t xml:space="preserve">Dishwasher Repair Babylon NY</t>
  </si>
  <si>
    <t xml:space="preserve">Dishwasher Repair Babylon, NY | Local Technicians</t>
  </si>
  <si>
    <t xml:space="preserve">Looking for dishwasher repair in Babylon, NY? Local technicians fix leaks, drain issues and cleaning problems. Upfront quotes. Call [PHONE].</t>
  </si>
  <si>
    <t xml:space="preserve">H1: Dishwasher Repair in Babylon, NY
The Town of Babylon covers busy South Shore villages and hamlets with a large share of well-kept single-family homes, plus apartments and rental units. When your dishwasher fails, you need a technician who understands local homes and gets the job done right the first time. [BUSINESS NAME] provides dishwasher repair in Babylon and nearby neighborhoods, covering leaks, drain issues and cleaning problems for homeowners, renters and property managers.
Dishwashers and disposals in compact kitchens often share tight cabinets, so leaks and slow drains are best caught early. That is why Babylon residents often call us for dishwasher problems before they turn into costly breakdowns. Call [PHONE] or book online and we will arrange an appointment at your Babylon address.
H2: Dishwasher Repair Throughout Babylon
Our technicians travel to homes and businesses across Babylon, including Babylon Village, Lindenhurst, Copiague, West Babylon, North Babylon, Deer Park, and Wyandanch. Wherever you are located, we bring tools and common parts for most dishwasher repairs to the first visit.
H2: Common Dishwasher Problems We Fix in Babylon
H3: Not draining
A clogged filter, kinked drain hose, blocked disposal connection or failed drain pump.
H3: Dishes not coming out clean
Clogged spray arms, a dirty filter, a weak circulation pump or a failed inlet valve.
H3: Leaking from the door or base
A worn door gasket, loose hose clamp, cracked sump or failed pump seal.
H3: Won't start or latch
A broken door latch, faulty control board or failed switch.
H3: Won't dry dishes
A failed heating element, vent fan issue or empty rinse-aid dispenser.
H3: Strange noises
Worn pump bearings, a loose spray arm or debris caught in the pump.
H2: How Babylon Homeowners Can Get the Most From Their Dishwasher
- Scrape plates rather than pre-rinsing, but don't leave large debris.
- Clean the filter monthly.
- Run hot water at the sink before starting a cycle.
- Use rinse aid to improve drying and prevent spotting.
H2: Our Repair Process in Babylon
We inspect the filter, spray arms, pump, hoses, door seal and controls, run a test cycle to reproduce the fault and quote the repair before starting.
1. Call or book online and describe the problem with your dishwasher.
2. We confirm your Babylon address and schedule an appointment window.
3. The technician diagnoses the fault and gives a firm quote.
4. With your approval, we repair and test the appliance.
5. You receive an invoice and warranty details: [INSERT WARRANTY].
H2: Brands We Service in Babylon
We repair dishwasher models from Bosch, Whirlpool, KitchenAid, GE, Samsung, LG, Maytag, Frigidaire, Miele, Thermador, and Electrolux and more for customers in Babylon. If you are unsure about your model, send us the model number and we will confirm we can help.
H2: Repair or Replace? Advice for Babylon Residents
Dishwashers last about 9 to 12 years. Pump, valve, latch and filter repairs are cost-effective, while a failed tub or major leak on an older unit may call for replacement.
H2: Why Babylon Customers Choose [BUSINESS NAME]
As a Suffolk County company, we know the area and the homes in it. We provide upfront quotes, treat your home with care and explain the problem clearly. Licensing and insurance: [INSERT DETAILS]. Customers in Babylon call us because we respect their time and their budget.
H2: Dishwasher Repair FAQs for Babylon
Q: Do you provide dishwasher repair in Babylon?
A: Yes. We serve Babylon and nearby areas including Babylon Village, Lindenhurst, Copiague, and West Babylon. Contact us to confirm availability for your address.
Q: How soon can you come to Babylon for dishwasher repair?
A: Availability varies by day. [INSERT YOUR SAME-DAY / NEXT-DAY POLICY]. We will offer the earliest window we have.
Q: How much does dishwasher repair cost in Babylon?
A: We diagnose the issue first and give a written price before starting, so there are no surprises. [INSERT DIAGNOSTIC FEE POLICY].
Q: Why is there standing water in my dishwasher?
A: Most often a clogged filter or drain hose, a blocked garbage disposal connection or a failed drain pump.
Q: Why are my dishes still dirty after a full cycle?
A: Blocked spray arms or a dirty filter usually restrict cleaning. Low water pressure or a failing pump can also be the cause.
H2: Book Dishwasher Repair in Babylon Today
Call [PHONE] or request service online. Our team will get your dishwasher working again.
H2: Preparing for Your Babylon Service Visit
A few simple steps help the technician work faster. Clear the area around your dishwasher so there is room to work, note when the problem started and any error codes, and keep the model number handy. If the appliance is leaking, switch off its power and water supply where it is safe to do so. For apartment and condo buildings in Babylon, let us know about parking, access or building rules in advance so your appointment runs smoothly.
H2: Other Appliance Repair Services in Babylon
Often one appliance failing is a sign that others in the home are due for a check. In Babylon we also repair garbage disposal, washing machine, and oven, along with every other appliance listed on our services page. Combining repairs in one visit can save you time.</t>
  </si>
  <si>
    <t xml:space="preserve">Dishwasher Repair Suffolk County -&gt; /dishwasher-repair/
Appliance Repair Babylon -&gt; /appliance-repair-babylon-ny/
Dishwasher Repair in Islip, NY -&gt; /dishwasher-repair/islip-ny/
Garbage Disposal Repair in Babylon -&gt; /garbage-disposal-repair/babylon-ny/
Washing Machine Repair in Babylon -&gt; /washer-repair/babylon-ny/
Contact Us -&gt; /contact/</t>
  </si>
  <si>
    <t xml:space="preserve">Town of Babylon -&gt; https://www.townofbabylon.com/
EPA WaterSense water-efficiency program -&gt; https://www.epa.gov/watersense</t>
  </si>
  <si>
    <t xml:space="preserve">Dishwasher Repair Patchogue</t>
  </si>
  <si>
    <t xml:space="preserve">/dishwasher-repair/patchogue-ny/</t>
  </si>
  <si>
    <t xml:space="preserve">Dishwasher Repair Patchogue NY</t>
  </si>
  <si>
    <t xml:space="preserve">Dishwasher Repair Patchogue, NY | Local Technicians</t>
  </si>
  <si>
    <t xml:space="preserve">Looking for dishwasher repair in Patchogue, NY? Local technicians fix leaks, drain issues and cleaning problems. Upfront quotes. Call [PHONE].</t>
  </si>
  <si>
    <t xml:space="preserve">H1: Dishwasher Repair in Patchogue, NY
Patchogue is a lively waterfront village with a walkable downtown, surrounded by neighborhoods of single-family homes, condos and apartments. When your dishwasher fails, you need a technician who understands local homes and gets the job done right the first time. [BUSINESS NAME] provides dishwasher repair in Patchogue and nearby neighborhoods, covering leaks, drain issues and cleaning problems for homeowners, renters and property managers.
Compact kitchens in apartments and condos use space-saving dishwashers and disposals, where drain issues and leaks can affect neighbors below. That is why Patchogue residents often call us for dishwasher problems before they turn into costly breakdowns. Call [PHONE] or book online and we will arrange an appointment at your Patchogue address.
H2: Dishwasher Repair Throughout Patchogue
Our technicians travel to homes and businesses across Patchogue, including Patchogue Village, East Patchogue, North Patchogue, Blue Point, Bellport, Medford, and Holbrook. Wherever you are located, we bring tools and common parts for most dishwasher repairs to the first visit.
H2: Common Dishwasher Problems We Fix in Patchogue
H3: Not draining
A clogged filter, kinked drain hose, blocked disposal connection or failed drain pump.
H3: Dishes not coming out clean
Clogged spray arms, a dirty filter, a weak circulation pump or a failed inlet valve.
H3: Leaking from the door or base
A worn door gasket, loose hose clamp, cracked sump or failed pump seal.
H3: Won't start or latch
A broken door latch, faulty control board or failed switch.
H3: Won't dry dishes
A failed heating element, vent fan issue or empty rinse-aid dispenser.
H3: Strange noises
Worn pump bearings, a loose spray arm or debris caught in the pump.
H2: How Patchogue Homeowners Can Get the Most From Their Dishwasher
- Scrape plates rather than pre-rinsing, but don't leave large debris.
- Clean the filter monthly.
- Run hot water at the sink before starting a cycle.
- Use rinse aid to improve drying and prevent spotting.
H2: Our Repair Process in Patchogue
We inspect the filter, spray arms, pump, hoses, door seal and controls, run a test cycle to reproduce the fault and quote the repair before starting.
1. Call or book online and describe the problem with your dishwasher.
2. We confirm your Patchogue address and schedule an appointment window.
3. The technician diagnoses the fault and gives a firm quote.
4. With your approval, we repair and test the appliance.
5. You receive an invoice and warranty details: [INSERT WARRANTY].
H2: Brands We Service in Patchogue
We repair dishwasher models from Bosch, Whirlpool, KitchenAid, GE, Samsung, LG, Maytag, Frigidaire, Miele, Thermador, and Electrolux and more for customers in Patchogue. If you are unsure about your model, send us the model number and we will confirm we can help.
H2: Repair or Replace? Advice for Patchogue Residents
Dishwashers last about 9 to 12 years. Pump, valve, latch and filter repairs are cost-effective, while a failed tub or major leak on an older unit may call for replacement.
H2: Why Patchogue Customers Choose [BUSINESS NAME]
As a Suffolk County company, we know the area and the homes in it. We provide upfront quotes, treat your home with care and explain the problem clearly. Licensing and insurance: [INSERT DETAILS]. Customers in Patchogue call us because we respect their time and their budget.
H2: Dishwasher Repair FAQs for Patchogue
Q: Do you provide dishwasher repair in Patchogue?
A: Yes. We serve Patchogue and nearby areas including Patchogue Village, East Patchogue, North Patchogue, and Blue Point. Contact us to confirm availability for your address.
Q: How soon can you come to Patchogue for dishwasher repair?
A: Availability varies by day. [INSERT YOUR SAME-DAY / NEXT-DAY POLICY]. We will offer the earliest window we have.
Q: How much does dishwasher repair cost in Patchogue?
A: We diagnose the issue first and give a written price before starting, so there are no surprises. [INSERT DIAGNOSTIC FEE POLICY].
Q: Why is there standing water in my dishwasher?
A: Most often a clogged filter or drain hose, a blocked garbage disposal connection or a failed drain pump.
Q: Why are my dishes still dirty after a full cycle?
A: Blocked spray arms or a dirty filter usually restrict cleaning. Low water pressure or a failing pump can also be the cause.
H2: Book Dishwasher Repair in Patchogue Today
Call [PHONE] or request service online. Our team will get your dishwasher working again.
H2: Preparing for Your Patchogue Service Visit
A few simple steps help the technician work faster. Clear the area around your dishwasher so there is room to work, note when the problem started and any error codes, and keep the model number handy. If the appliance is leaking, switch off its power and water supply where it is safe to do so. For apartment and condo buildings in Patchogue, let us know about parking, access or building rules in advance so your appointment runs smoothly.
H2: Other Appliance Repair Services in Patchogue
Often one appliance failing is a sign that others in the home are due for a check. In Patchogue we also repair garbage disposal, washing machine, and oven, along with every other appliance listed on our services page. Combining repairs in one visit can save you time.</t>
  </si>
  <si>
    <t xml:space="preserve">Dishwasher Repair Suffolk County -&gt; /dishwasher-repair/
Appliance Repair Patchogue -&gt; /appliance-repair-patchogue-ny/
Dishwasher Repair in Islip, NY -&gt; /dishwasher-repair/islip-ny/
Garbage Disposal Repair in Patchogue -&gt; /garbage-disposal-repair/patchogue-ny/
Washing Machine Repair in Patchogue -&gt; /washer-repair/patchogue-ny/
Contact Us -&gt; /contact/</t>
  </si>
  <si>
    <t xml:space="preserve">Town of Brookhaven -&gt; https://www.brookhavenny.gov/
EPA WaterSense water-efficiency program -&gt; https://www.epa.gov/watersense</t>
  </si>
  <si>
    <t xml:space="preserve">Oven Repair Huntington</t>
  </si>
  <si>
    <t xml:space="preserve">/oven-repair/huntington-ny/</t>
  </si>
  <si>
    <t xml:space="preserve">Oven Repair Huntington NY</t>
  </si>
  <si>
    <t xml:space="preserve">Oven Repair Huntington, NY | Local Technicians</t>
  </si>
  <si>
    <t xml:space="preserve">Looking for oven repair in Huntington, NY? Local technicians fix heating, temperature and door problems. Upfront quotes. Call [PHONE].</t>
  </si>
  <si>
    <t xml:space="preserve">H1: Oven Repair in Huntington, NY
Huntington blends a walkable historic village with established North Shore neighborhoods, many of them with older kitchens, finished basements and a mix of classic and high-end appliances. When your oven fails, you need a technician who understands local homes and gets the job done right the first time. [BUSINESS NAME] provides oven repair in Huntington and nearby neighborhoods, covering heating, temperature and door problems for homeowners, renters and property managers.
Older Huntington homes often pair vintage gas ranges with updated kitchens, and renovated kitchens add built-in wall ovens and cooktops that need specialist care. That is why Huntington residents often call us for oven problems before they turn into costly breakdowns. Call [PHONE] or book online and we will arrange an appointment at your Huntington address.
H2: Oven Repair Throughout Huntington
Our technicians travel to homes and businesses across Huntington, including Huntington Village, Huntington Station, Greenlawn, Halesite, Cold Spring Harbor, Melville, South Huntington, and Dix Hills. Wherever you are located, we bring tools and common parts for most oven repairs to the first visit.
H2: Common Oven Problems We Fix in Huntington
H3: Oven not heating
A failed bake or broil element, igniter, thermal fuse or control board.
H3: Uneven baking or wrong temperature
A faulty temperature sensor, thermostat or worn door gasket causing heat loss.
H3: Oven won't turn on
A control board, relay or wiring fault, or a tripped breaker.
H3: Door won't close or latch
A worn hinge, spring or latch assembly.
H3: Self-clean cycle failing
A faulty door lock motor, thermal fuse or control issue.
H3: Gas smell or slow ignition
A weak igniter or gas valve problem, which should be treated as a safety issue.
H2: How Huntington Homeowners Can Get the Most From Their Oven
- Do not line the oven floor with foil, which can damage elements.
- Wipe spills promptly to protect sensors and elements.
- Check the door seal regularly for tears.
- Use the self-clean cycle sparingly.
H2: Our Repair Process in Huntington
We test heating components and sensors, verify temperature accuracy and inspect the door, controls and gas supply where applicable. You get a written estimate before we begin.
1. Call or book online and describe the problem with your oven.
2. We confirm your Huntington address and schedule an appointment window.
3. The technician diagnoses the fault and gives a firm quote.
4. With your approval, we repair and test the appliance.
5. You receive an invoice and warranty details: [INSERT WARRANTY].
H2: Brands We Service in Huntington
We repair oven models from GE, Whirlpool, Frigidaire, Samsung, LG, KitchenAid, Bosch, Thermador, Wolf, Viking, Jenn-Air, and Miele and more for customers in Huntington. If you are unsure about your model, send us the model number and we will confirm we can help.
H2: Repair or Replace? Advice for Huntington Residents
Ovens commonly last 13 to 15 years. Elements, igniters, sensors and gaskets are inexpensive repairs, while a failed control on an older unit can approach replacement cost.
H2: Why Huntington Customers Choose [BUSINESS NAME]
As a Suffolk County company, we know the area and the homes in it. We provide upfront quotes, treat your home with care and explain the problem clearly. Licensing and insurance: [INSERT DETAILS]. Customers in Huntington call us because we respect their time and their budget.
H2: Oven Repair FAQs for Huntington
Q: Do you provide oven repair in Huntington?
A: Yes. We serve Huntington and nearby areas including Huntington Village, Huntington Station, Greenlawn, and Halesite. Contact us to confirm availability for your address.
Q: How soon can you come to Huntington for oven repair?
A: Availability varies by day. [INSERT YOUR SAME-DAY / NEXT-DAY POLICY]. We will offer the earliest window we have.
Q: How much does oven repair cost in Huntington?
A: We diagnose the issue first and give a written price before starting, so there are no surprises. [INSERT DIAGNOSTIC FEE POLICY].
Q: Why isn't my electric oven heating?
A: A burned-out bake element or failed thermal fuse is common. A technician can test each part quickly.
Q: Why is my oven temperature inaccurate?
A: A faulty sensor or a worn control often causes this, and calibration can sometimes correct it.
H2: Book Oven Repair in Huntington Today
Call [PHONE] or request service online. Our team will get your oven working again.
H2: Preparing for Your Huntington Service Visit
A few simple steps help the technician work faster. Clear the area around your oven so there is room to work, note when the problem started and any error codes, and keep the model number handy. If the appliance is leaking, switch off its power and water supply where it is safe to do so. For apartment and condo buildings in Huntington, let us know about parking, access or building rules in advance so your appointment runs smoothly.
H2: Other Appliance Repair Services in Huntington
Often one appliance failing is a sign that others in the home are due for a check. In Huntington we also repair stove &amp; range, cooktop, and microwave, along with every other appliance listed on our services page. Combining repairs in one visit can save you time.</t>
  </si>
  <si>
    <t xml:space="preserve">Oven Repair Suffolk County -&gt; /oven-repair/
Appliance Repair Huntington -&gt; /appliance-repair-huntington-ny/
Oven Repair in Smithtown, NY -&gt; /oven-repair/smithtown-ny/
Stove &amp; Range Repair in Huntington -&gt; /stove-range-repair/huntington-ny/
Cooktop Repair in Huntington -&gt; /cooktop-repair/huntington-ny/
Contact Us -&gt; /contact/</t>
  </si>
  <si>
    <t xml:space="preserve">Town of Huntington -&gt; https://www.huntingtonny.gov/
NFPA cooking safety guidance -&gt; https://www.nfpa.org/education-and-research/home-fire-safety/cooking</t>
  </si>
  <si>
    <t xml:space="preserve">Oven Repair Smithtown</t>
  </si>
  <si>
    <t xml:space="preserve">/oven-repair/smithtown-ny/</t>
  </si>
  <si>
    <t xml:space="preserve">Oven Repair Smithtown NY</t>
  </si>
  <si>
    <t xml:space="preserve">Oven Repair Smithtown, NY | Local Technicians</t>
  </si>
  <si>
    <t xml:space="preserve">Looking for oven repair in Smithtown, NY? Local technicians fix heating, temperature and door problems. Upfront quotes. Call [PHONE].</t>
  </si>
  <si>
    <t xml:space="preserve">H1: Oven Repair in Smithtown, NY
Smithtown is largely suburban, with family-sized homes, busy kitchens and households that run several appliances every single day. When your oven fails, you need a technician who understands local homes and gets the job done right the first time. [BUSINESS NAME] provides oven repair in Smithtown and nearby neighborhoods, covering heating, temperature and door problems for homeowners, renters and property managers.
Suburban kitchens in Smithtown often have double ovens, five-burner ranges and countertop cooktops that see heavy daily use. That is why Smithtown residents often call us for oven problems before they turn into costly breakdowns. Call [PHONE] or book online and we will arrange an appointment at your Smithtown address.
H2: Oven Repair Throughout Smithtown
Our technicians travel to homes and businesses across Smithtown, including Smithtown, Kings Park, St. James, Nesconset, Hauppauge, Fort Salonga, and Head of the Harbor. Wherever you are located, we bring tools and common parts for most oven repairs to the first visit.
H2: Common Oven Problems We Fix in Smithtown
H3: Oven not heating
A failed bake or broil element, igniter, thermal fuse or control board.
H3: Uneven baking or wrong temperature
A faulty temperature sensor, thermostat or worn door gasket causing heat loss.
H3: Oven won't turn on
A control board, relay or wiring fault, or a tripped breaker.
H3: Door won't close or latch
A worn hinge, spring or latch assembly.
H3: Self-clean cycle failing
A faulty door lock motor, thermal fuse or control issue.
H3: Gas smell or slow ignition
A weak igniter or gas valve problem, which should be treated as a safety issue.
H2: How Smithtown Homeowners Can Get the Most From Their Oven
- Do not line the oven floor with foil, which can damage elements.
- Wipe spills promptly to protect sensors and elements.
- Check the door seal regularly for tears.
- Use the self-clean cycle sparingly.
H2: Our Repair Process in Smithtown
We test heating components and sensors, verify temperature accuracy and inspect the door, controls and gas supply where applicable. You get a written estimate before we begin.
1. Call or book online and describe the problem with your oven.
2. We confirm your Smithtown address and schedule an appointment window.
3. The technician diagnoses the fault and gives a firm quote.
4. With your approval, we repair and test the appliance.
5. You receive an invoice and warranty details: [INSERT WARRANTY].
H2: Brands We Service in Smithtown
We repair oven models from GE, Whirlpool, Frigidaire, Samsung, LG, KitchenAid, Bosch, Thermador, Wolf, Viking, Jenn-Air, and Miele and more for customers in Smithtown. If you are unsure about your model, send us the model number and we will confirm we can help.
H2: Repair or Replace? Advice for Smithtown Residents
Ovens commonly last 13 to 15 years. Elements, igniters, sensors and gaskets are inexpensive repairs, while a failed control on an older unit can approach replacement cost.
H2: Why Smithtown Customers Choose [BUSINESS NAME]
As a Suffolk County company, we know the area and the homes in it. We provide upfront quotes, treat your home with care and explain the problem clearly. Licensing and insurance: [INSERT DETAILS]. Customers in Smithtown call us because we respect their time and their budget.
H2: Oven Repair FAQs for Smithtown
Q: Do you provide oven repair in Smithtown?
A: Yes. We serve Smithtown and nearby areas including Smithtown, Kings Park, St. James, and Nesconset. Contact us to confirm availability for your address.
Q: How soon can you come to Smithtown for oven repair?
A: Availability varies by day. [INSERT YOUR SAME-DAY / NEXT-DAY POLICY]. We will offer the earliest window we have.
Q: How much does oven repair cost in Smithtown?
A: We diagnose the issue first and give a written price before starting, so there are no surprises. [INSERT DIAGNOSTIC FEE POLICY].
Q: Why isn't my electric oven heating?
A: A burned-out bake element or failed thermal fuse is common. A technician can test each part quickly.
Q: Why is my oven temperature inaccurate?
A: A faulty sensor or a worn control often causes this, and calibration can sometimes correct it.
H2: Book Oven Repair in Smithtown Today
Call [PHONE] or request service online. Our team will get your oven working again.
H2: Preparing for Your Smithtown Service Visit
A few simple steps help the technician work faster. Clear the area around your oven so there is room to work, note when the problem started and any error codes, and keep the model number handy. If the appliance is leaking, switch off its power and water supply where it is safe to do so. For apartment and condo buildings in Smithtown, let us know about parking, access or building rules in advance so your appointment runs smoothly.
H2: Other Appliance Repair Services in Smithtown
Often one appliance failing is a sign that others in the home are due for a check. In Smithtown we also repair stove &amp; range, cooktop, and microwave, along with every other appliance listed on our services page. Combining repairs in one visit can save you time.
H2: What Makes Smithtown Homes Different
High-volume family laundry puts constant strain on washer bearings, drain pumps, dryer belts and heating elements. Busy family kitchens run the dishwasher daily and rely on disposals, so drain pumps, spray arms and clogged filters are frequent causes of service calls. Suburban kitchens in Smithtown often have double ovens, five-burner ranges and countertop cooktops that see heavy daily use. Larger family households mean refrigerators and garage or basement freezers work hard year-round, especially around holidays and summer gatherings. Understanding these local patterns helps our technicians check the likely culprits first and avoid wasted time.</t>
  </si>
  <si>
    <t xml:space="preserve">Oven Repair Suffolk County -&gt; /oven-repair/
Appliance Repair Smithtown -&gt; /appliance-repair-smithtown-ny/
Oven Repair in Huntington, NY -&gt; /oven-repair/huntington-ny/
Oven Repair in Islip, NY -&gt; /oven-repair/islip-ny/
Stove &amp; Range Repair in Smithtown -&gt; /stove-range-repair/smithtown-ny/
Cooktop Repair in Smithtown -&gt; /cooktop-repair/smithtown-ny/
Contact Us -&gt; /contact/</t>
  </si>
  <si>
    <t xml:space="preserve">Town of Smithtown -&gt; https://www.smithtownny.gov/
NFPA cooking safety guidance -&gt; https://www.nfpa.org/education-and-research/home-fire-safety/cooking</t>
  </si>
  <si>
    <t xml:space="preserve">Oven Repair Islip</t>
  </si>
  <si>
    <t xml:space="preserve">/oven-repair/islip-ny/</t>
  </si>
  <si>
    <t xml:space="preserve">Oven Repair Islip NY</t>
  </si>
  <si>
    <t xml:space="preserve">Oven Repair Islip, NY | Local Technicians</t>
  </si>
  <si>
    <t xml:space="preserve">Looking for oven repair in Islip, NY? Local technicians fix heating, temperature and door problems. Upfront quotes. Call [PHONE].</t>
  </si>
  <si>
    <t xml:space="preserve">H1: Oven Repair in Islip, NY
Islip stretches across the South Shore, from waterfront communities near the Great South Bay to inland neighborhoods, with a wide mix of single-family homes, condos and rentals. When your oven fails, you need a technician who understands local homes and gets the job done right the first time. [BUSINESS NAME] provides oven repair in Islip and nearby neighborhoods, covering heating, temperature and door problems for homeowners, renters and property managers.
Islip's mix of older bungalows and updated homes means both gas and electric cooking appliances, many with aging igniters and worn burner components. That is why Islip residents often call us for oven problems before they turn into costly breakdowns. Call [PHONE] or book online and we will arrange an appointment at your Islip address.
H2: Oven Repair Throughout Islip
Our technicians travel to homes and businesses across Islip, including Islip, East Islip, Islip Terrace, Bay Shore, Brentwood, Central Islip, Sayville, and Great River. Wherever you are located, we bring tools and common parts for most oven repairs to the first visit.
H2: Common Oven Problems We Fix in Islip
H3: Oven not heating
A failed bake or broil element, igniter, thermal fuse or control board.
H3: Uneven baking or wrong temperature
A faulty temperature sensor, thermostat or worn door gasket causing heat loss.
H3: Oven won't turn on
A control board, relay or wiring fault, or a tripped breaker.
H3: Door won't close or latch
A worn hinge, spring or latch assembly.
H3: Self-clean cycle failing
A faulty door lock motor, thermal fuse or control issue.
H3: Gas smell or slow ignition
A weak igniter or gas valve problem, which should be treated as a safety issue.
H2: How Islip Homeowners Can Get the Most From Their Oven
- Do not line the oven floor with foil, which can damage elements.
- Wipe spills promptly to protect sensors and elements.
- Check the door seal regularly for tears.
- Use the self-clean cycle sparingly.
H2: Our Repair Process in Islip
We test heating components and sensors, verify temperature accuracy and inspect the door, controls and gas supply where applicable. You get a written estimate before we begin.
1. Call or book online and describe the problem with your oven.
2. We confirm your Islip address and schedule an appointment window.
3. The technician diagnoses the fault and gives a firm quote.
4. With your approval, we repair and test the appliance.
5. You receive an invoice and warranty details: [INSERT WARRANTY].
H2: Brands We Service in Islip
We repair oven models from GE, Whirlpool, Frigidaire, Samsung, LG, KitchenAid, Bosch, Thermador, Wolf, Viking, Jenn-Air, and Miele and more for customers in Islip. If you are unsure about your model, send us the model number and we will confirm we can help.
H2: Repair or Replace? Advice for Islip Residents
Ovens commonly last 13 to 15 years. Elements, igniters, sensors and gaskets are inexpensive repairs, while a failed control on an older unit can approach replacement cost.
H2: Why Islip Customers Choose [BUSINESS NAME]
As a Suffolk County company, we know the area and the homes in it. We provide upfront quotes, treat your home with care and explain the problem clearly. Licensing and insurance: [INSERT DETAILS]. Customers in Islip call us because we respect their time and their budget.
H2: Oven Repair FAQs for Islip
Q: Do you provide oven repair in Islip?
A: Yes. We serve Islip and nearby areas including Islip, East Islip, Islip Terrace, and Bay Shore. Contact us to confirm availability for your address.
Q: How soon can you come to Islip for oven repair?
A: Availability varies by day. [INSERT YOUR SAME-DAY / NEXT-DAY POLICY]. We will offer the earliest window we have.
Q: How much does oven repair cost in Islip?
A: We diagnose the issue first and give a written price before starting, so there are no surprises. [INSERT DIAGNOSTIC FEE POLICY].
Q: Why isn't my electric oven heating?
A: A burned-out bake element or failed thermal fuse is common. A technician can test each part quickly.
Q: Why is my oven temperature inaccurate?
A: A faulty sensor or a worn control often causes this, and calibration can sometimes correct it.
H2: Book Oven Repair in Islip Today
Call [PHONE] or request service online. Our team will get your oven working again.
H2: Preparing for Your Islip Service Visit
A few simple steps help the technician work faster. Clear the area around your oven so there is room to work, note when the problem started and any error codes, and keep the model number handy. If the appliance is leaking, switch off its power and water supply where it is safe to do so. For apartment and condo buildings in Islip, let us know about parking, access or building rules in advance so your appointment runs smoothly.
H2: Other Appliance Repair Services in Islip
Often one appliance failing is a sign that others in the home are due for a check. In Islip we also repair stove &amp; range, cooktop, and microwave, along with every other appliance listed on our services page. Combining repairs in one visit can save you time.</t>
  </si>
  <si>
    <t xml:space="preserve">Oven Repair Suffolk County -&gt; /oven-repair/
Appliance Repair Islip -&gt; /appliance-repair-islip-ny/
Oven Repair in Babylon, NY -&gt; /oven-repair/babylon-ny/
Oven Repair in Patchogue, NY -&gt; /oven-repair/patchogue-ny/
Stove &amp; Range Repair in Islip -&gt; /stove-range-repair/islip-ny/
Cooktop Repair in Islip -&gt; /cooktop-repair/islip-ny/
Contact Us -&gt; /contact/</t>
  </si>
  <si>
    <t xml:space="preserve">Town of Islip -&gt; https://www.islipny.gov/
NFPA cooking safety guidance -&gt; https://www.nfpa.org/education-and-research/home-fire-safety/cooking</t>
  </si>
  <si>
    <t xml:space="preserve">Oven Repair Babylon</t>
  </si>
  <si>
    <t xml:space="preserve">/oven-repair/babylon-ny/</t>
  </si>
  <si>
    <t xml:space="preserve">Oven Repair Babylon NY</t>
  </si>
  <si>
    <t xml:space="preserve">Oven Repair Babylon, NY | Local Technicians</t>
  </si>
  <si>
    <t xml:space="preserve">Looking for oven repair in Babylon, NY? Local technicians fix heating, temperature and door problems. Upfront quotes. Call [PHONE].</t>
  </si>
  <si>
    <t xml:space="preserve">H1: Oven Repair in Babylon, NY
The Town of Babylon covers busy South Shore villages and hamlets with a large share of well-kept single-family homes, plus apartments and rental units. When your oven fails, you need a technician who understands local homes and gets the job done right the first time. [BUSINESS NAME] provides oven repair in Babylon and nearby neighborhoods, covering heating, temperature and door problems for homeowners, renters and property managers.
Many Babylon homes use gas ranges and wall ovens that have been in service for years, so igniters, thermostats and control boards are common repairs. That is why Babylon residents often call us for oven problems before they turn into costly breakdowns. Call [PHONE] or book online and we will arrange an appointment at your Babylon address.
H2: Oven Repair Throughout Babylon
Our technicians travel to homes and businesses across Babylon, including Babylon Village, Lindenhurst, Copiague, West Babylon, North Babylon, Deer Park, and Wyandanch. Wherever you are located, we bring tools and common parts for most oven repairs to the first visit.
H2: Common Oven Problems We Fix in Babylon
H3: Oven not heating
A failed bake or broil element, igniter, thermal fuse or control board.
H3: Uneven baking or wrong temperature
A faulty temperature sensor, thermostat or worn door gasket causing heat loss.
H3: Oven won't turn on
A control board, relay or wiring fault, or a tripped breaker.
H3: Door won't close or latch
A worn hinge, spring or latch assembly.
H3: Self-clean cycle failing
A faulty door lock motor, thermal fuse or control issue.
H3: Gas smell or slow ignition
A weak igniter or gas valve problem, which should be treated as a safety issue.
H2: How Babylon Homeowners Can Get the Most From Their Oven
- Do not line the oven floor with foil, which can damage elements.
- Wipe spills promptly to protect sensors and elements.
- Check the door seal regularly for tears.
- Use the self-clean cycle sparingly.
H2: Our Repair Process in Babylon
We test heating components and sensors, verify temperature accuracy and inspect the door, controls and gas supply where applicable. You get a written estimate before we begin.
1. Call or book online and describe the problem with your oven.
2. We confirm your Babylon address and schedule an appointment window.
3. The technician diagnoses the fault and gives a firm quote.
4. With your approval, we repair and test the appliance.
5. You receive an invoice and warranty details: [INSERT WARRANTY].
H2: Brands We Service in Babylon
We repair oven models from GE, Whirlpool, Frigidaire, Samsung, LG, KitchenAid, Bosch, Thermador, Wolf, Viking, Jenn-Air, and Miele and more for customers in Babylon. If you are unsure about your model, send us the model number and we will confirm we can help.
H2: Repair or Replace? Advice for Babylon Residents
Ovens commonly last 13 to 15 years. Elements, igniters, sensors and gaskets are inexpensive repairs, while a failed control on an older unit can approach replacement cost.
H2: Why Babylon Customers Choose [BUSINESS NAME]
As a Suffolk County company, we know the area and the homes in it. We provide upfront quotes, treat your home with care and explain the problem clearly. Licensing and insurance: [INSERT DETAILS]. Customers in Babylon call us because we respect their time and their budget.
H2: Oven Repair FAQs for Babylon
Q: Do you provide oven repair in Babylon?
A: Yes. We serve Babylon and nearby areas including Babylon Village, Lindenhurst, Copiague, and West Babylon. Contact us to confirm availability for your address.
Q: How soon can you come to Babylon for oven repair?
A: Availability varies by day. [INSERT YOUR SAME-DAY / NEXT-DAY POLICY]. We will offer the earliest window we have.
Q: How much does oven repair cost in Babylon?
A: We diagnose the issue first and give a written price before starting, so there are no surprises. [INSERT DIAGNOSTIC FEE POLICY].
Q: Why isn't my electric oven heating?
A: A burned-out bake element or failed thermal fuse is common. A technician can test each part quickly.
Q: Why is my oven temperature inaccurate?
A: A faulty sensor or a worn control often causes this, and calibration can sometimes correct it.
H2: Book Oven Repair in Babylon Today
Call [PHONE] or request service online. Our team will get your oven working again.
H2: Preparing for Your Babylon Service Visit
A few simple steps help the technician work faster. Clear the area around your oven so there is room to work, note when the problem started and any error codes, and keep the model number handy. If the appliance is leaking, switch off its power and water supply where it is safe to do so. For apartment and condo buildings in Babylon, let us know about parking, access or building rules in advance so your appointment runs smoothly.
H2: Other Appliance Repair Services in Babylon
Often one appliance failing is a sign that others in the home are due for a check. In Babylon we also repair stove &amp; range, cooktop, and microwave, along with every other appliance listed on our services page. Combining repairs in one visit can save you time.</t>
  </si>
  <si>
    <t xml:space="preserve">Oven Repair Suffolk County -&gt; /oven-repair/
Appliance Repair Babylon -&gt; /appliance-repair-babylon-ny/
Oven Repair in Islip, NY -&gt; /oven-repair/islip-ny/
Stove &amp; Range Repair in Babylon -&gt; /stove-range-repair/babylon-ny/
Cooktop Repair in Babylon -&gt; /cooktop-repair/babylon-ny/
Contact Us -&gt; /contact/</t>
  </si>
  <si>
    <t xml:space="preserve">Town of Babylon -&gt; https://www.townofbabylon.com/
NFPA cooking safety guidance -&gt; https://www.nfpa.org/education-and-research/home-fire-safety/cooking</t>
  </si>
  <si>
    <t xml:space="preserve">Oven Repair Patchogue</t>
  </si>
  <si>
    <t xml:space="preserve">/oven-repair/patchogue-ny/</t>
  </si>
  <si>
    <t xml:space="preserve">Oven Repair Patchogue NY</t>
  </si>
  <si>
    <t xml:space="preserve">Oven Repair Patchogue, NY | Local Technicians</t>
  </si>
  <si>
    <t xml:space="preserve">Looking for oven repair in Patchogue, NY? Local technicians fix heating, temperature and door problems. Upfront quotes. Call [PHONE].</t>
  </si>
  <si>
    <t xml:space="preserve">H1: Oven Repair in Patchogue, NY
Patchogue is a lively waterfront village with a walkable downtown, surrounded by neighborhoods of single-family homes, condos and apartments. When your oven fails, you need a technician who understands local homes and gets the job done right the first time. [BUSINESS NAME] provides oven repair in Patchogue and nearby neighborhoods, covering heating, temperature and door problems for homeowners, renters and property managers.
Smaller downtown kitchens favor slide-in ranges, cooktops and over-the-range microwaves that share tight spaces and heavy use. That is why Patchogue residents often call us for oven problems before they turn into costly breakdowns. Call [PHONE] or book online and we will arrange an appointment at your Patchogue address.
H2: Oven Repair Throughout Patchogue
Our technicians travel to homes and businesses across Patchogue, including Patchogue Village, East Patchogue, North Patchogue, Blue Point, Bellport, Medford, and Holbrook. Wherever you are located, we bring tools and common parts for most oven repairs to the first visit.
H2: Common Oven Problems We Fix in Patchogue
H3: Oven not heating
A failed bake or broil element, igniter, thermal fuse or control board.
H3: Uneven baking or wrong temperature
A faulty temperature sensor, thermostat or worn door gasket causing heat loss.
H3: Oven won't turn on
A control board, relay or wiring fault, or a tripped breaker.
H3: Door won't close or latch
A worn hinge, spring or latch assembly.
H3: Self-clean cycle failing
A faulty door lock motor, thermal fuse or control issue.
H3: Gas smell or slow ignition
A weak igniter or gas valve problem, which should be treated as a safety issue.
H2: How Patchogue Homeowners Can Get the Most From Their Oven
- Do not line the oven floor with foil, which can damage elements.
- Wipe spills promptly to protect sensors and elements.
- Check the door seal regularly for tears.
- Use the self-clean cycle sparingly.
H2: Our Repair Process in Patchogue
We test heating components and sensors, verify temperature accuracy and inspect the door, controls and gas supply where applicable. You get a written estimate before we begin.
1. Call or book online and describe the problem with your oven.
2. We confirm your Patchogue address and schedule an appointment window.
3. The technician diagnoses the fault and gives a firm quote.
4. With your approval, we repair and test the appliance.
5. You receive an invoice and warranty details: [INSERT WARRANTY].
H2: Brands We Service in Patchogue
We repair oven models from GE, Whirlpool, Frigidaire, Samsung, LG, KitchenAid, Bosch, Thermador, Wolf, Viking, Jenn-Air, and Miele and more for customers in Patchogue. If you are unsure about your model, send us the model number and we will confirm we can help.
H2: Repair or Replace? Advice for Patchogue Residents
Ovens commonly last 13 to 15 years. Elements, igniters, sensors and gaskets are inexpensive repairs, while a failed control on an older unit can approach replacement cost.
H2: Why Patchogue Customers Choose [BUSINESS NAME]
As a Suffolk County company, we know the area and the homes in it. We provide upfront quotes, treat your home with care and explain the problem clearly. Licensing and insurance: [INSERT DETAILS]. Customers in Patchogue call us because we respect their time and their budget.
H2: Oven Repair FAQs for Patchogue
Q: Do you provide oven repair in Patchogue?
A: Yes. We serve Patchogue and nearby areas including Patchogue Village, East Patchogue, North Patchogue, and Blue Point. Contact us to confirm availability for your address.
Q: How soon can you come to Patchogue for oven repair?
A: Availability varies by day. [INSERT YOUR SAME-DAY / NEXT-DAY POLICY]. We will offer the earliest window we have.
Q: How much does oven repair cost in Patchogue?
A: We diagnose the issue first and give a written price before starting, so there are no surprises. [INSERT DIAGNOSTIC FEE POLICY].
Q: Why isn't my electric oven heating?
A: A burned-out bake element or failed thermal fuse is common. A technician can test each part quickly.
Q: Why is my oven temperature inaccurate?
A: A faulty sensor or a worn control often causes this, and calibration can sometimes correct it.
H2: Book Oven Repair in Patchogue Today
Call [PHONE] or request service online. Our team will get your oven working again.
H2: Preparing for Your Patchogue Service Visit
A few simple steps help the technician work faster. Clear the area around your oven so there is room to work, note when the problem started and any error codes, and keep the model number handy. If the appliance is leaking, switch off its power and water supply where it is safe to do so. For apartment and condo buildings in Patchogue, let us know about parking, access or building rules in advance so your appointment runs smoothly.
H2: Other Appliance Repair Services in Patchogue
Often one appliance failing is a sign that others in the home are due for a check. In Patchogue we also repair stove &amp; range, cooktop, and microwave, along with every other appliance listed on our services page. Combining repairs in one visit can save you time.
H2: What Makes Patchogue Homes Different
Condos and multi-unit buildings often use stackable washers and dryers or combo units, which need compact-model parts and careful diagnostics. Compact kitchens in apartments and condos use space-saving dishwashers and disposals, where drain issues and leaks can affect neighbors below. Smaller downtown kitchens favor slide-in ranges, cooktops and over-the-range microwaves that share tight spaces and heavy use. Apartments and condos near downtown often use compact and counter-depth refrigerators, where ventilation and gasket wear are frequent issues. Understanding these local patterns helps our technicians check the likely culprits first and avoid wasted time.</t>
  </si>
  <si>
    <t xml:space="preserve">Oven Repair Suffolk County -&gt; /oven-repair/
Appliance Repair Patchogue -&gt; /appliance-repair-patchogue-ny/
Oven Repair in Islip, NY -&gt; /oven-repair/islip-ny/
Stove &amp; Range Repair in Patchogue -&gt; /stove-range-repair/patchogue-ny/
Cooktop Repair in Patchogue -&gt; /cooktop-repair/patchogue-ny/
Contact Us -&gt; /contact/</t>
  </si>
  <si>
    <t xml:space="preserve">Town of Brookhaven -&gt; https://www.brookhavenny.gov/
NFPA cooking safety guidance -&gt; https://www.nfpa.org/education-and-research/home-fire-safety/cooking</t>
  </si>
  <si>
    <t xml:space="preserve">Stove &amp; Range Repair Huntington</t>
  </si>
  <si>
    <t xml:space="preserve">/stove-range-repair/huntington-ny/</t>
  </si>
  <si>
    <t xml:space="preserve">Stove &amp; Range Repair Huntington NY</t>
  </si>
  <si>
    <t xml:space="preserve">Stove &amp; Range Repair Huntington, NY | Local Technicians</t>
  </si>
  <si>
    <t xml:space="preserve">Looking for stove &amp; range repair in Huntington, NY? Local technicians fix burner, igniter and oven problems. Upfront quotes. Call [PHONE].</t>
  </si>
  <si>
    <t xml:space="preserve">H1: Stove &amp; Range Repair in Huntington, NY
Huntington blends a walkable historic village with established North Shore neighborhoods, many of them with older kitchens, finished basements and a mix of classic and high-end appliances. When your stove &amp; range fails, you need a technician who understands local homes and gets the job done right the first time. [BUSINESS NAME] provides stove &amp; range repair in Huntington and nearby neighborhoods, covering burner, igniter and oven problems for homeowners, renters and property managers.
Older Huntington homes often pair vintage gas ranges with updated kitchens, and renovated kitchens add built-in wall ovens and cooktops that need specialist care. That is why Huntington residents often call us for stove &amp; range problems before they turn into costly breakdowns. Call [PHONE] or book online and we will arrange an appointment at your Huntington address.
H2: Stove &amp; Range Repair Throughout Huntington
Our technicians travel to homes and businesses across Huntington, including Huntington Village, Huntington Station, Greenlawn, Halesite, Cold Spring Harbor, Melville, South Huntington, and Dix Hills. Wherever you are located, we bring tools and common parts for most stove &amp; range repairs to the first visit.
H2: Common Stove &amp; Range Problems We Fix in Huntington
H3: Burner won't light or clicks constantly
A dirty or wet burner, a failed igniter or a faulty spark module.
H3: Electric burner not heating
A worn burner element, loose receptacle or failed infinite switch.
H3: Uneven flame or yellow flame
Clogged burner ports or an incorrect air/gas mixture.
H3: Oven side not working
A failed bake element, igniter or control board.
H3: Knobs or controls unresponsive
A bad switch, control board or electronic touchpad.
H3: Sparking or burning smell
Damaged wiring or a failing element, which needs prompt attention.
H2: How Huntington Homeowners Can Get the Most From Their Stove &amp; Range
- Keep burner ports clean with a soft brush.
- Make sure burner caps are seated correctly.
- Clean spills on electric elements only when cool.
- Replace damaged drip pans and receptacles early.
H2: Our Repair Process in Huntington
We inspect the burners, igniters, switches and oven components together, test gas and electrical supply and explain which repairs are essential and which can wait.
1. Call or book online and describe the problem with your stove &amp; range.
2. We confirm your Huntington address and schedule an appointment window.
3. The technician diagnoses the fault and gives a firm quote.
4. With your approval, we repair and test the appliance.
5. You receive an invoice and warranty details: [INSERT WARRANTY].
H2: Brands We Service in Huntington
We repair stove &amp; range models from GE, Whirlpool, Frigidaire, Samsung, LG, KitchenAid, Bosch, Viking, Wolf, Thermador, Maytag, and Jenn-Air and more for customers in Huntington. If you are unsure about your model, send us the model number and we will confirm we can help.
H2: Repair or Replace? Advice for Huntington Residents
Ranges generally last 13 to 15 years. Most burner, switch and igniter repairs are inexpensive, but a failed main control on an old range may justify replacement.
H2: Why Huntington Customers Choose [BUSINESS NAME]
As a Suffolk County company, we know the area and the homes in it. We provide upfront quotes, treat your home with care and explain the problem clearly. Licensing and insurance: [INSERT DETAILS]. Customers in Huntington call us because we respect their time and their budget.
H2: Stove &amp; Range Repair FAQs for Huntington
Q: Do you provide stove &amp; range repair in Huntington?
A: Yes. We serve Huntington and nearby areas including Huntington Village, Huntington Station, Greenlawn, and Halesite. Contact us to confirm availability for your address.
Q: How soon can you come to Huntington for stove &amp; range repair?
A: Availability varies by day. [INSERT YOUR SAME-DAY / NEXT-DAY POLICY]. We will offer the earliest window we have.
Q: How much does stove &amp; range repair cost in Huntington?
A: We diagnose the issue first and give a written price before starting, so there are no surprises. [INSERT DIAGNOSTIC FEE POLICY].
Q: Why does my gas burner click but not light?
A: Moisture, food debris or a worn igniter or spark module is typically the cause.
Q: Why is only one electric burner not working?
A: The element or its receptacle has usually failed, which is a straightforward repair.
H2: Book Stove &amp; Range Repair in Huntington Today
Call [PHONE] or request service online. Our team will get your stove &amp; range working again.
H2: Preparing for Your Huntington Service Visit
A few simple steps help the technician work faster. Clear the area around your stove &amp; range so there is room to work, note when the problem started and any error codes, and keep the model number handy. If the appliance is leaking, switch off its power and water supply where it is safe to do so. For apartment and condo buildings in Huntington, let us know about parking, access or building rules in advance so your appointment runs smoothly.
H2: Other Appliance Repair Services in Huntington
Often one appliance failing is a sign that others in the home are due for a check. In Huntington we also repair oven, cooktop, and microwave, along with every other appliance listed on our services page. Combining repairs in one visit can save you time.</t>
  </si>
  <si>
    <t xml:space="preserve">Stove &amp; Range Repair Suffolk County -&gt; /stove-range-repair/
Appliance Repair Huntington -&gt; /appliance-repair-huntington-ny/
Stove &amp; Range Repair in Smithtown, NY -&gt; /stove-range-repair/smithtown-ny/
Oven Repair in Huntington -&gt; /oven-repair/huntington-ny/
Cooktop Repair in Huntington -&gt; /cooktop-repair/huntington-ny/
Contact Us -&gt; /contact/</t>
  </si>
  <si>
    <t xml:space="preserve">Stove &amp; Range Repair Smithtown</t>
  </si>
  <si>
    <t xml:space="preserve">/stove-range-repair/smithtown-ny/</t>
  </si>
  <si>
    <t xml:space="preserve">Stove &amp; Range Repair Smithtown NY</t>
  </si>
  <si>
    <t xml:space="preserve">Stove &amp; Range Repair Smithtown, NY | Local Technicians</t>
  </si>
  <si>
    <t xml:space="preserve">Looking for stove &amp; range repair in Smithtown, NY? Local technicians fix burner, igniter and oven problems. Upfront quotes. Call [PHONE].</t>
  </si>
  <si>
    <t xml:space="preserve">H1: Stove &amp; Range Repair in Smithtown, NY
Smithtown is largely suburban, with family-sized homes, busy kitchens and households that run several appliances every single day. When your stove &amp; range fails, you need a technician who understands local homes and gets the job done right the first time. [BUSINESS NAME] provides stove &amp; range repair in Smithtown and nearby neighborhoods, covering burner, igniter and oven problems for homeowners, renters and property managers.
Suburban kitchens in Smithtown often have double ovens, five-burner ranges and countertop cooktops that see heavy daily use. That is why Smithtown residents often call us for stove &amp; range problems before they turn into costly breakdowns. Call [PHONE] or book online and we will arrange an appointment at your Smithtown address.
H2: Stove &amp; Range Repair Throughout Smithtown
Our technicians travel to homes and businesses across Smithtown, including Smithtown, Kings Park, St. James, Nesconset, Hauppauge, Fort Salonga, and Head of the Harbor. Wherever you are located, we bring tools and common parts for most stove &amp; range repairs to the first visit.
H2: Common Stove &amp; Range Problems We Fix in Smithtown
H3: Burner won't light or clicks constantly
A dirty or wet burner, a failed igniter or a faulty spark module.
H3: Electric burner not heating
A worn burner element, loose receptacle or failed infinite switch.
H3: Uneven flame or yellow flame
Clogged burner ports or an incorrect air/gas mixture.
H3: Oven side not working
A failed bake element, igniter or control board.
H3: Knobs or controls unresponsive
A bad switch, control board or electronic touchpad.
H3: Sparking or burning smell
Damaged wiring or a failing element, which needs prompt attention.
H2: How Smithtown Homeowners Can Get the Most From Their Stove &amp; Range
- Keep burner ports clean with a soft brush.
- Make sure burner caps are seated correctly.
- Clean spills on electric elements only when cool.
- Replace damaged drip pans and receptacles early.
H2: Our Repair Process in Smithtown
We inspect the burners, igniters, switches and oven components together, test gas and electrical supply and explain which repairs are essential and which can wait.
1. Call or book online and describe the problem with your stove &amp; range.
2. We confirm your Smithtown address and schedule an appointment window.
3. The technician diagnoses the fault and gives a firm quote.
4. With your approval, we repair and test the appliance.
5. You receive an invoice and warranty details: [INSERT WARRANTY].
H2: Brands We Service in Smithtown
We repair stove &amp; range models from GE, Whirlpool, Frigidaire, Samsung, LG, KitchenAid, Bosch, Viking, Wolf, Thermador, Maytag, and Jenn-Air and more for customers in Smithtown. If you are unsure about your model, send us the model number and we will confirm we can help.
H2: Repair or Replace? Advice for Smithtown Residents
Ranges generally last 13 to 15 years. Most burner, switch and igniter repairs are inexpensive, but a failed main control on an old range may justify replacement.
H2: Why Smithtown Customers Choose [BUSINESS NAME]
As a Suffolk County company, we know the area and the homes in it. We provide upfront quotes, treat your home with care and explain the problem clearly. Licensing and insurance: [INSERT DETAILS]. Customers in Smithtown call us because we respect their time and their budget.
H2: Stove &amp; Range Repair FAQs for Smithtown
Q: Do you provide stove &amp; range repair in Smithtown?
A: Yes. We serve Smithtown and nearby areas including Smithtown, Kings Park, St. James, and Nesconset. Contact us to confirm availability for your address.
Q: How soon can you come to Smithtown for stove &amp; range repair?
A: Availability varies by day. [INSERT YOUR SAME-DAY / NEXT-DAY POLICY]. We will offer the earliest window we have.
Q: How much does stove &amp; range repair cost in Smithtown?
A: We diagnose the issue first and give a written price before starting, so there are no surprises. [INSERT DIAGNOSTIC FEE POLICY].
Q: Why does my gas burner click but not light?
A: Moisture, food debris or a worn igniter or spark module is typically the cause.
Q: Why is only one electric burner not working?
A: The element or its receptacle has usually failed, which is a straightforward repair.
H2: Book Stove &amp; Range Repair in Smithtown Today
Call [PHONE] or request service online. Our team will get your stove &amp; range working again.
H2: Preparing for Your Smithtown Service Visit
A few simple steps help the technician work faster. Clear the area around your stove &amp; range so there is room to work, note when the problem started and any error codes, and keep the model number handy. If the appliance is leaking, switch off its power and water supply where it is safe to do so. For apartment and condo buildings in Smithtown, let us know about parking, access or building rules in advance so your appointment runs smoothly.
H2: Other Appliance Repair Services in Smithtown
Often one appliance failing is a sign that others in the home are due for a check. In Smithtown we also repair oven, cooktop, and microwave, along with every other appliance listed on our services page. Combining repairs in one visit can save you time.
H2: What Makes Smithtown Homes Different
High-volume family laundry puts constant strain on washer bearings, drain pumps, dryer belts and heating elements. Busy family kitchens run the dishwasher daily and rely on disposals, so drain pumps, spray arms and clogged filters are frequent causes of service calls. Suburban kitchens in Smithtown often have double ovens, five-burner ranges and countertop cooktops that see heavy daily use. Larger family households mean refrigerators and garage or basement freezers work hard year-round, especially around holidays and summer gatherings. Understanding these local patterns helps our technicians check the likely culprits first and avoid wasted time.</t>
  </si>
  <si>
    <t xml:space="preserve">Stove &amp; Range Repair Suffolk County -&gt; /stove-range-repair/
Appliance Repair Smithtown -&gt; /appliance-repair-smithtown-ny/
Stove &amp; Range Repair in Huntington, NY -&gt; /stove-range-repair/huntington-ny/
Stove &amp; Range Repair in Islip, NY -&gt; /stove-range-repair/islip-ny/
Oven Repair in Smithtown -&gt; /oven-repair/smithtown-ny/
Cooktop Repair in Smithtown -&gt; /cooktop-repair/smithtown-ny/
Contact Us -&gt; /contact/</t>
  </si>
  <si>
    <t xml:space="preserve">Stove &amp; Range Repair Islip</t>
  </si>
  <si>
    <t xml:space="preserve">/stove-range-repair/islip-ny/</t>
  </si>
  <si>
    <t xml:space="preserve">Stove &amp; Range Repair Islip NY</t>
  </si>
  <si>
    <t xml:space="preserve">Stove &amp; Range Repair Islip, NY | Local Technicians</t>
  </si>
  <si>
    <t xml:space="preserve">Looking for stove &amp; range repair in Islip, NY? Local technicians fix burner, igniter and oven problems. Upfront quotes. Call [PHONE].</t>
  </si>
  <si>
    <t xml:space="preserve">H1: Stove &amp; Range Repair in Islip, NY
Islip stretches across the South Shore, from waterfront communities near the Great South Bay to inland neighborhoods, with a wide mix of single-family homes, condos and rentals. When your stove &amp; range fails, you need a technician who understands local homes and gets the job done right the first time. [BUSINESS NAME] provides stove &amp; range repair in Islip and nearby neighborhoods, covering burner, igniter and oven problems for homeowners, renters and property managers.
Islip's mix of older bungalows and updated homes means both gas and electric cooking appliances, many with aging igniters and worn burner components. That is why Islip residents often call us for stove &amp; range problems before they turn into costly breakdowns. Call [PHONE] or book online and we will arrange an appointment at your Islip address.
H2: Stove &amp; Range Repair Throughout Islip
Our technicians travel to homes and businesses across Islip, including Islip, East Islip, Islip Terrace, Bay Shore, Brentwood, Central Islip, Sayville, and Great River. Wherever you are located, we bring tools and common parts for most stove &amp; range repairs to the first visit.
H2: Common Stove &amp; Range Problems We Fix in Islip
H3: Burner won't light or clicks constantly
A dirty or wet burner, a failed igniter or a faulty spark module.
H3: Electric burner not heating
A worn burner element, loose receptacle or failed infinite switch.
H3: Uneven flame or yellow flame
Clogged burner ports or an incorrect air/gas mixture.
H3: Oven side not working
A failed bake element, igniter or control board.
H3: Knobs or controls unresponsive
A bad switch, control board or electronic touchpad.
H3: Sparking or burning smell
Damaged wiring or a failing element, which needs prompt attention.
H2: How Islip Homeowners Can Get the Most From Their Stove &amp; Range
- Keep burner ports clean with a soft brush.
- Make sure burner caps are seated correctly.
- Clean spills on electric elements only when cool.
- Replace damaged drip pans and receptacles early.
H2: Our Repair Process in Islip
We inspect the burners, igniters, switches and oven components together, test gas and electrical supply and explain which repairs are essential and which can wait.
1. Call or book online and describe the problem with your stove &amp; range.
2. We confirm your Islip address and schedule an appointment window.
3. The technician diagnoses the fault and gives a firm quote.
4. With your approval, we repair and test the appliance.
5. You receive an invoice and warranty details: [INSERT WARRANTY].
H2: Brands We Service in Islip
We repair stove &amp; range models from GE, Whirlpool, Frigidaire, Samsung, LG, KitchenAid, Bosch, Viking, Wolf, Thermador, Maytag, and Jenn-Air and more for customers in Islip. If you are unsure about your model, send us the model number and we will confirm we can help.
H2: Repair or Replace? Advice for Islip Residents
Ranges generally last 13 to 15 years. Most burner, switch and igniter repairs are inexpensive, but a failed main control on an old range may justify replacement.
H2: Why Islip Customers Choose [BUSINESS NAME]
As a Suffolk County company, we know the area and the homes in it. We provide upfront quotes, treat your home with care and explain the problem clearly. Licensing and insurance: [INSERT DETAILS]. Customers in Islip call us because we respect their time and their budget.
H2: Stove &amp; Range Repair FAQs for Islip
Q: Do you provide stove &amp; range repair in Islip?
A: Yes. We serve Islip and nearby areas including Islip, East Islip, Islip Terrace, and Bay Shore. Contact us to confirm availability for your address.
Q: How soon can you come to Islip for stove &amp; range repair?
A: Availability varies by day. [INSERT YOUR SAME-DAY / NEXT-DAY POLICY]. We will offer the earliest window we have.
Q: How much does stove &amp; range repair cost in Islip?
A: We diagnose the issue first and give a written price before starting, so there are no surprises. [INSERT DIAGNOSTIC FEE POLICY].
Q: Why does my gas burner click but not light?
A: Moisture, food debris or a worn igniter or spark module is typically the cause.
Q: Why is only one electric burner not working?
A: The element or its receptacle has usually failed, which is a straightforward repair.
H2: Book Stove &amp; Range Repair in Islip Today
Call [PHONE] or request service online. Our team will get your stove &amp; range working again.
H2: Preparing for Your Islip Service Visit
A few simple steps help the technician work faster. Clear the area around your stove &amp; range so there is room to work, note when the problem started and any error codes, and keep the model number handy. If the appliance is leaking, switch off its power and water supply where it is safe to do so. For apartment and condo buildings in Islip, let us know about parking, access or building rules in advance so your appointment runs smoothly.
H2: Other Appliance Repair Services in Islip
Often one appliance failing is a sign that others in the home are due for a check. In Islip we also repair oven, cooktop, and microwave, along with every other appliance listed on our services page. Combining repairs in one visit can save you time.</t>
  </si>
  <si>
    <t xml:space="preserve">Stove &amp; Range Repair Suffolk County -&gt; /stove-range-repair/
Appliance Repair Islip -&gt; /appliance-repair-islip-ny/
Stove &amp; Range Repair in Babylon, NY -&gt; /stove-range-repair/babylon-ny/
Stove &amp; Range Repair in Patchogue, NY -&gt; /stove-range-repair/patchogue-ny/
Oven Repair in Islip -&gt; /oven-repair/islip-ny/
Cooktop Repair in Islip -&gt; /cooktop-repair/islip-ny/
Contact Us -&gt; /contact/</t>
  </si>
  <si>
    <t xml:space="preserve">Stove &amp; Range Repair Babylon</t>
  </si>
  <si>
    <t xml:space="preserve">/stove-range-repair/babylon-ny/</t>
  </si>
  <si>
    <t xml:space="preserve">Stove &amp; Range Repair Babylon NY</t>
  </si>
  <si>
    <t xml:space="preserve">Stove &amp; Range Repair Babylon, NY | Local Technicians</t>
  </si>
  <si>
    <t xml:space="preserve">Looking for stove &amp; range repair in Babylon, NY? Local technicians fix burner, igniter and oven problems. Upfront quotes. Call [PHONE].</t>
  </si>
  <si>
    <t xml:space="preserve">H1: Stove &amp; Range Repair in Babylon, NY
The Town of Babylon covers busy South Shore villages and hamlets with a large share of well-kept single-family homes, plus apartments and rental units. When your stove &amp; range fails, you need a technician who understands local homes and gets the job done right the first time. [BUSINESS NAME] provides stove &amp; range repair in Babylon and nearby neighborhoods, covering burner, igniter and oven problems for homeowners, renters and property managers.
Many Babylon homes use gas ranges and wall ovens that have been in service for years, so igniters, thermostats and control boards are common repairs. That is why Babylon residents often call us for stove &amp; range problems before they turn into costly breakdowns. Call [PHONE] or book online and we will arrange an appointment at your Babylon address.
H2: Stove &amp; Range Repair Throughout Babylon
Our technicians travel to homes and businesses across Babylon, including Babylon Village, Lindenhurst, Copiague, West Babylon, North Babylon, Deer Park, and Wyandanch. Wherever you are located, we bring tools and common parts for most stove &amp; range repairs to the first visit.
H2: Common Stove &amp; Range Problems We Fix in Babylon
H3: Burner won't light or clicks constantly
A dirty or wet burner, a failed igniter or a faulty spark module.
H3: Electric burner not heating
A worn burner element, loose receptacle or failed infinite switch.
H3: Uneven flame or yellow flame
Clogged burner ports or an incorrect air/gas mixture.
H3: Oven side not working
A failed bake element, igniter or control board.
H3: Knobs or controls unresponsive
A bad switch, control board or electronic touchpad.
H3: Sparking or burning smell
Damaged wiring or a failing element, which needs prompt attention.
H2: How Babylon Homeowners Can Get the Most From Their Stove &amp; Range
- Keep burner ports clean with a soft brush.
- Make sure burner caps are seated correctly.
- Clean spills on electric elements only when cool.
- Replace damaged drip pans and receptacles early.
H2: Our Repair Process in Babylon
We inspect the burners, igniters, switches and oven components together, test gas and electrical supply and explain which repairs are essential and which can wait.
1. Call or book online and describe the problem with your stove &amp; range.
2. We confirm your Babylon address and schedule an appointment window.
3. The technician diagnoses the fault and gives a firm quote.
4. With your approval, we repair and test the appliance.
5. You receive an invoice and warranty details: [INSERT WARRANTY].
H2: Brands We Service in Babylon
We repair stove &amp; range models from GE, Whirlpool, Frigidaire, Samsung, LG, KitchenAid, Bosch, Viking, Wolf, Thermador, Maytag, and Jenn-Air and more for customers in Babylon. If you are unsure about your model, send us the model number and we will confirm we can help.
H2: Repair or Replace? Advice for Babylon Residents
Ranges generally last 13 to 15 years. Most burner, switch and igniter repairs are inexpensive, but a failed main control on an old range may justify replacement.
H2: Why Babylon Customers Choose [BUSINESS NAME]
As a Suffolk County company, we know the area and the homes in it. We provide upfront quotes, treat your home with care and explain the problem clearly. Licensing and insurance: [INSERT DETAILS]. Customers in Babylon call us because we respect their time and their budget.
H2: Stove &amp; Range Repair FAQs for Babylon
Q: Do you provide stove &amp; range repair in Babylon?
A: Yes. We serve Babylon and nearby areas including Babylon Village, Lindenhurst, Copiague, and West Babylon. Contact us to confirm availability for your address.
Q: How soon can you come to Babylon for stove &amp; range repair?
A: Availability varies by day. [INSERT YOUR SAME-DAY / NEXT-DAY POLICY]. We will offer the earliest window we have.
Q: How much does stove &amp; range repair cost in Babylon?
A: We diagnose the issue first and give a written price before starting, so there are no surprises. [INSERT DIAGNOSTIC FEE POLICY].
Q: Why does my gas burner click but not light?
A: Moisture, food debris or a worn igniter or spark module is typically the cause.
Q: Why is only one electric burner not working?
A: The element or its receptacle has usually failed, which is a straightforward repair.
H2: Book Stove &amp; Range Repair in Babylon Today
Call [PHONE] or request service online. Our team will get your stove &amp; range working again.
H2: Preparing for Your Babylon Service Visit
A few simple steps help the technician work faster. Clear the area around your stove &amp; range so there is room to work, note when the problem started and any error codes, and keep the model number handy. If the appliance is leaking, switch off its power and water supply where it is safe to do so. For apartment and condo buildings in Babylon, let us know about parking, access or building rules in advance so your appointment runs smoothly.
H2: Other Appliance Repair Services in Babylon
Often one appliance failing is a sign that others in the home are due for a check. In Babylon we also repair oven, cooktop, and microwave, along with every other appliance listed on our services page. Combining repairs in one visit can save you time.</t>
  </si>
  <si>
    <t xml:space="preserve">Stove &amp; Range Repair Suffolk County -&gt; /stove-range-repair/
Appliance Repair Babylon -&gt; /appliance-repair-babylon-ny/
Stove &amp; Range Repair in Islip, NY -&gt; /stove-range-repair/islip-ny/
Oven Repair in Babylon -&gt; /oven-repair/babylon-ny/
Cooktop Repair in Babylon -&gt; /cooktop-repair/babylon-ny/
Contact Us -&gt; /contact/</t>
  </si>
  <si>
    <t xml:space="preserve">Stove &amp; Range Repair Patchogue</t>
  </si>
  <si>
    <t xml:space="preserve">/stove-range-repair/patchogue-ny/</t>
  </si>
  <si>
    <t xml:space="preserve">Stove &amp; Range Repair Patchogue NY</t>
  </si>
  <si>
    <t xml:space="preserve">Stove &amp; Range Repair Patchogue, NY | Local Technicians</t>
  </si>
  <si>
    <t xml:space="preserve">Looking for stove &amp; range repair in Patchogue, NY? Local technicians fix burner, igniter and oven problems. Upfront quotes. Call [PHONE].</t>
  </si>
  <si>
    <t xml:space="preserve">H1: Stove &amp; Range Repair in Patchogue, NY
Patchogue is a lively waterfront village with a walkable downtown, surrounded by neighborhoods of single-family homes, condos and apartments. When your stove &amp; range fails, you need a technician who understands local homes and gets the job done right the first time. [BUSINESS NAME] provides stove &amp; range repair in Patchogue and nearby neighborhoods, covering burner, igniter and oven problems for homeowners, renters and property managers.
Smaller downtown kitchens favor slide-in ranges, cooktops and over-the-range microwaves that share tight spaces and heavy use. That is why Patchogue residents often call us for stove &amp; range problems before they turn into costly breakdowns. Call [PHONE] or book online and we will arrange an appointment at your Patchogue address.
H2: Stove &amp; Range Repair Throughout Patchogue
Our technicians travel to homes and businesses across Patchogue, including Patchogue Village, East Patchogue, North Patchogue, Blue Point, Bellport, Medford, and Holbrook. Wherever you are located, we bring tools and common parts for most stove &amp; range repairs to the first visit.
H2: Common Stove &amp; Range Problems We Fix in Patchogue
H3: Burner won't light or clicks constantly
A dirty or wet burner, a failed igniter or a faulty spark module.
H3: Electric burner not heating
A worn burner element, loose receptacle or failed infinite switch.
H3: Uneven flame or yellow flame
Clogged burner ports or an incorrect air/gas mixture.
H3: Oven side not working
A failed bake element, igniter or control board.
H3: Knobs or controls unresponsive
A bad switch, control board or electronic touchpad.
H3: Sparking or burning smell
Damaged wiring or a failing element, which needs prompt attention.
H2: How Patchogue Homeowners Can Get the Most From Their Stove &amp; Range
- Keep burner ports clean with a soft brush.
- Make sure burner caps are seated correctly.
- Clean spills on electric elements only when cool.
- Replace damaged drip pans and receptacles early.
H2: Our Repair Process in Patchogue
We inspect the burners, igniters, switches and oven components together, test gas and electrical supply and explain which repairs are essential and which can wait.
1. Call or book online and describe the problem with your stove &amp; range.
2. We confirm your Patchogue address and schedule an appointment window.
3. The technician diagnoses the fault and gives a firm quote.
4. With your approval, we repair and test the appliance.
5. You receive an invoice and warranty details: [INSERT WARRANTY].
H2: Brands We Service in Patchogue
We repair stove &amp; range models from GE, Whirlpool, Frigidaire, Samsung, LG, KitchenAid, Bosch, Viking, Wolf, Thermador, Maytag, and Jenn-Air and more for customers in Patchogue. If you are unsure about your model, send us the model number and we will confirm we can help.
H2: Repair or Replace? Advice for Patchogue Residents
Ranges generally last 13 to 15 years. Most burner, switch and igniter repairs are inexpensive, but a failed main control on an old range may justify replacement.
H2: Why Patchogue Customers Choose [BUSINESS NAME]
As a Suffolk County company, we know the area and the homes in it. We provide upfront quotes, treat your home with care and explain the problem clearly. Licensing and insurance: [INSERT DETAILS]. Customers in Patchogue call us because we respect their time and their budget.
H2: Stove &amp; Range Repair FAQs for Patchogue
Q: Do you provide stove &amp; range repair in Patchogue?
A: Yes. We serve Patchogue and nearby areas including Patchogue Village, East Patchogue, North Patchogue, and Blue Point. Contact us to confirm availability for your address.
Q: How soon can you come to Patchogue for stove &amp; range repair?
A: Availability varies by day. [INSERT YOUR SAME-DAY / NEXT-DAY POLICY]. We will offer the earliest window we have.
Q: How much does stove &amp; range repair cost in Patchogue?
A: We diagnose the issue first and give a written price before starting, so there are no surprises. [INSERT DIAGNOSTIC FEE POLICY].
Q: Why does my gas burner click but not light?
A: Moisture, food debris or a worn igniter or spark module is typically the cause.
Q: Why is only one electric burner not working?
A: The element or its receptacle has usually failed, which is a straightforward repair.
H2: Book Stove &amp; Range Repair in Patchogue Today
Call [PHONE] or request service online. Our team will get your stove &amp; range working again.
H2: Preparing for Your Patchogue Service Visit
A few simple steps help the technician work faster. Clear the area around your stove &amp; range so there is room to work, note when the problem started and any error codes, and keep the model number handy. If the appliance is leaking, switch off its power and water supply where it is safe to do so. For apartment and condo buildings in Patchogue, let us know about parking, access or building rules in advance so your appointment runs smoothly.
H2: Other Appliance Repair Services in Patchogue
Often one appliance failing is a sign that others in the home are due for a check. In Patchogue we also repair oven, cooktop, and microwave, along with every other appliance listed on our services page. Combining repairs in one visit can save you time.
H2: What Makes Patchogue Homes Different
Condos and multi-unit buildings often use stackable washers and dryers or combo units, which need compact-model parts and careful diagnostics. Compact kitchens in apartments and condos use space-saving dishwashers and disposals, where drain issues and leaks can affect neighbors below. Smaller downtown kitchens favor slide-in ranges, cooktops and over-the-range microwaves that share tight spaces and heavy use. Apartments and condos near downtown often use compact and counter-depth refrigerators, where ventilation and gasket wear are frequent issues. Understanding these local patterns helps our technicians check the likely culprits first and avoid wasted time.</t>
  </si>
  <si>
    <t xml:space="preserve">Stove &amp; Range Repair Suffolk County -&gt; /stove-range-repair/
Appliance Repair Patchogue -&gt; /appliance-repair-patchogue-ny/
Stove &amp; Range Repair in Islip, NY -&gt; /stove-range-repair/islip-ny/
Oven Repair in Patchogue -&gt; /oven-repair/patchogue-ny/
Cooktop Repair in Patchogue -&gt; /cooktop-repair/patchogue-ny/
Contact Us -&gt; /contact/</t>
  </si>
  <si>
    <t xml:space="preserve">Cooktop Repair Huntington</t>
  </si>
  <si>
    <t xml:space="preserve">/cooktop-repair/huntington-ny/</t>
  </si>
  <si>
    <t xml:space="preserve">Cooktop Repair Huntington NY</t>
  </si>
  <si>
    <t xml:space="preserve">Cooktop Repair Huntington, NY | Local Technicians</t>
  </si>
  <si>
    <t xml:space="preserve">Looking for cooktop repair in Huntington, NY? Local technicians fix burner, igniter and induction faults. Upfront quotes. Call [PHONE].</t>
  </si>
  <si>
    <t xml:space="preserve">H1: Cooktop Repair in Huntington, NY
Huntington blends a walkable historic village with established North Shore neighborhoods, many of them with older kitchens, finished basements and a mix of classic and high-end appliances. When your cooktop fails, you need a technician who understands local homes and gets the job done right the first time. [BUSINESS NAME] provides cooktop repair in Huntington and nearby neighborhoods, covering burner, igniter and induction faults for homeowners, renters and property managers.
Older Huntington homes often pair vintage gas ranges with updated kitchens, and renovated kitchens add built-in wall ovens and cooktops that need specialist care. That is why Huntington residents often call us for cooktop problems before they turn into costly breakdowns. Call [PHONE] or book online and we will arrange an appointment at your Huntington address.
H2: Cooktop Repair Throughout Huntington
Our technicians travel to homes and businesses across Huntington, including Huntington Village, Huntington Station, Greenlawn, Halesite, Cold Spring Harbor, Melville, South Huntington, and Dix Hills. Wherever you are located, we bring tools and common parts for most cooktop repairs to the first visit.
H2: Common Cooktop Problems We Fix in Huntington
H3: Burner won't ignite
Dirty ports, a failed igniter or spark module.
H3: Induction zone not heating
A cracked glass top, failed power board or cooling fan problem.
H3: Radiant element not glowing
A failed element, limiter or infinite switch.
H3: Touch controls unresponsive
A control board fault or moisture beneath the glass.
H3: Cracked or damaged glass
Needs safe replacement to protect electronics.
H3: Constant clicking
A wet burner or short in the igniter circuit.
H2: How Huntington Homeowners Can Get the Most From Their Cooktop
- Use flat-bottomed cookware on glass and induction tops.
- Wipe spills quickly to avoid permanent staining or damage.
- Avoid sliding heavy pans across glass.
- Keep gas burner heads aligned and clean.
H2: Our Repair Process in Huntington
We remove the cooktop components needed to test each burner, switch and board, confirm the fault and quote the repair before ordering parts.
1. Call or book online and describe the problem with your cooktop.
2. We confirm your Huntington address and schedule an appointment window.
3. The technician diagnoses the fault and gives a firm quote.
4. With your approval, we repair and test the appliance.
5. You receive an invoice and warranty details: [INSERT WARRANTY].
H2: Brands We Service in Huntington
We repair cooktop models from Wolf, Thermador, Bosch, Miele, GE Profile, Samsung, KitchenAid, Viking, Frigidaire, and Whirlpool and more for customers in Huntington. If you are unsure about your model, send us the model number and we will confirm we can help.
H2: Repair or Replace? Advice for Huntington Residents
Cooktops often last 15 years or more. Replacement is usually considered only if the glass is cracked on an older unit or electronic boards are discontinued.
H2: Why Huntington Customers Choose [BUSINESS NAME]
As a Suffolk County company, we know the area and the homes in it. We provide upfront quotes, treat your home with care and explain the problem clearly. Licensing and insurance: [INSERT DETAILS]. Customers in Huntington call us because we respect their time and their budget.
H2: Cooktop Repair FAQs for Huntington
Q: Do you provide cooktop repair in Huntington?
A: Yes. We serve Huntington and nearby areas including Huntington Village, Huntington Station, Greenlawn, and Halesite. Contact us to confirm availability for your address.
Q: How soon can you come to Huntington for cooktop repair?
A: Availability varies by day. [INSERT YOUR SAME-DAY / NEXT-DAY POLICY]. We will offer the earliest window we have.
Q: How much does cooktop repair cost in Huntington?
A: We diagnose the issue first and give a written price before starting, so there are no surprises. [INSERT DIAGNOSTIC FEE POLICY].
Q: Why is my gas cooktop clicking nonstop?
A: Moisture or food debris around the igniter is the most common cause.
Q: Can an induction cooktop be repaired?
A: Yes. Many faults, including power boards and fans, can be diagnosed and repaired.
H2: Book Cooktop Repair in Huntington Today
Call [PHONE] or request service online. Our team will get your cooktop working again.
H2: Preparing for Your Huntington Service Visit
A few simple steps help the technician work faster. Clear the area around your cooktop so there is room to work, note when the problem started and any error codes, and keep the model number handy. If the appliance is leaking, switch off its power and water supply where it is safe to do so. For apartment and condo buildings in Huntington, let us know about parking, access or building rules in advance so your appointment runs smoothly.
H2: Other Appliance Repair Services in Huntington
Often one appliance failing is a sign that others in the home are due for a check. In Huntington we also repair stove &amp; range, oven, and microwave, along with every other appliance listed on our services page. Combining repairs in one visit can save you time.
H2: What Makes Huntington Homes Different
Many Huntington homes have laundry in basements or tight closets, where long dryer vent runs and limited airflow cause overheating and slow drying. Established homes with older plumbing and renovated kitchens mean dishwashers and disposals have to be matched carefully to drain lines and under-sink space. Older Huntington homes often pair vintage gas ranges with updated kitchens, and renovated kitchens add built-in wall ovens and cooktops that need specialist care. Larger North Shore homes often run a main refrigerator plus a basement freezer or beverage fridge, so units get heavy use and can age unnoticed until they fail. Understanding these local patterns helps our technicians check the likely culprits first and avoid wasted time.</t>
  </si>
  <si>
    <t xml:space="preserve">Cooktop Repair Suffolk County -&gt; /cooktop-repair/
Appliance Repair Huntington -&gt; /appliance-repair-huntington-ny/
Cooktop Repair in Smithtown, NY -&gt; /cooktop-repair/smithtown-ny/
Stove &amp; Range Repair in Huntington -&gt; /stove-range-repair/huntington-ny/
Oven Repair in Huntington -&gt; /oven-repair/huntington-ny/
Contact Us -&gt; /contact/</t>
  </si>
  <si>
    <t xml:space="preserve">Cooktop Repair Smithtown</t>
  </si>
  <si>
    <t xml:space="preserve">/cooktop-repair/smithtown-ny/</t>
  </si>
  <si>
    <t xml:space="preserve">Cooktop Repair Smithtown NY</t>
  </si>
  <si>
    <t xml:space="preserve">Cooktop Repair Smithtown, NY | Local Technicians</t>
  </si>
  <si>
    <t xml:space="preserve">Looking for cooktop repair in Smithtown, NY? Local technicians fix burner, igniter and induction faults. Upfront quotes. Call [PHONE].</t>
  </si>
  <si>
    <t xml:space="preserve">H1: Cooktop Repair in Smithtown, NY
Smithtown is largely suburban, with family-sized homes, busy kitchens and households that run several appliances every single day. When your cooktop fails, you need a technician who understands local homes and gets the job done right the first time. [BUSINESS NAME] provides cooktop repair in Smithtown and nearby neighborhoods, covering burner, igniter and induction faults for homeowners, renters and property managers.
Suburban kitchens in Smithtown often have double ovens, five-burner ranges and countertop cooktops that see heavy daily use. That is why Smithtown residents often call us for cooktop problems before they turn into costly breakdowns. Call [PHONE] or book online and we will arrange an appointment at your Smithtown address.
H2: Cooktop Repair Throughout Smithtown
Our technicians travel to homes and businesses across Smithtown, including Smithtown, Kings Park, St. James, Nesconset, Hauppauge, Fort Salonga, and Head of the Harbor. Wherever you are located, we bring tools and common parts for most cooktop repairs to the first visit.
H2: Common Cooktop Problems We Fix in Smithtown
H3: Burner won't ignite
Dirty ports, a failed igniter or spark module.
H3: Induction zone not heating
A cracked glass top, failed power board or cooling fan problem.
H3: Radiant element not glowing
A failed element, limiter or infinite switch.
H3: Touch controls unresponsive
A control board fault or moisture beneath the glass.
H3: Cracked or damaged glass
Needs safe replacement to protect electronics.
H3: Constant clicking
A wet burner or short in the igniter circuit.
H2: How Smithtown Homeowners Can Get the Most From Their Cooktop
- Use flat-bottomed cookware on glass and induction tops.
- Wipe spills quickly to avoid permanent staining or damage.
- Avoid sliding heavy pans across glass.
- Keep gas burner heads aligned and clean.
H2: Our Repair Process in Smithtown
We remove the cooktop components needed to test each burner, switch and board, confirm the fault and quote the repair before ordering parts.
1. Call or book online and describe the problem with your cooktop.
2. We confirm your Smithtown address and schedule an appointment window.
3. The technician diagnoses the fault and gives a firm quote.
4. With your approval, we repair and test the appliance.
5. You receive an invoice and warranty details: [INSERT WARRANTY].
H2: Brands We Service in Smithtown
We repair cooktop models from Wolf, Thermador, Bosch, Miele, GE Profile, Samsung, KitchenAid, Viking, Frigidaire, and Whirlpool and more for customers in Smithtown. If you are unsure about your model, send us the model number and we will confirm we can help.
H2: Repair or Replace? Advice for Smithtown Residents
Cooktops often last 15 years or more. Replacement is usually considered only if the glass is cracked on an older unit or electronic boards are discontinued.
H2: Why Smithtown Customers Choose [BUSINESS NAME]
As a Suffolk County company, we know the area and the homes in it. We provide upfront quotes, treat your home with care and explain the problem clearly. Licensing and insurance: [INSERT DETAILS]. Customers in Smithtown call us because we respect their time and their budget.
H2: Cooktop Repair FAQs for Smithtown
Q: Do you provide cooktop repair in Smithtown?
A: Yes. We serve Smithtown and nearby areas including Smithtown, Kings Park, St. James, and Nesconset. Contact us to confirm availability for your address.
Q: How soon can you come to Smithtown for cooktop repair?
A: Availability varies by day. [INSERT YOUR SAME-DAY / NEXT-DAY POLICY]. We will offer the earliest window we have.
Q: How much does cooktop repair cost in Smithtown?
A: We diagnose the issue first and give a written price before starting, so there are no surprises. [INSERT DIAGNOSTIC FEE POLICY].
Q: Why is my gas cooktop clicking nonstop?
A: Moisture or food debris around the igniter is the most common cause.
Q: Can an induction cooktop be repaired?
A: Yes. Many faults, including power boards and fans, can be diagnosed and repaired.
H2: Book Cooktop Repair in Smithtown Today
Call [PHONE] or request service online. Our team will get your cooktop working again.
H2: Preparing for Your Smithtown Service Visit
A few simple steps help the technician work faster. Clear the area around your cooktop so there is room to work, note when the problem started and any error codes, and keep the model number handy. If the appliance is leaking, switch off its power and water supply where it is safe to do so. For apartment and condo buildings in Smithtown, let us know about parking, access or building rules in advance so your appointment runs smoothly.
H2: Other Appliance Repair Services in Smithtown
Often one appliance failing is a sign that others in the home are due for a check. In Smithtown we also repair stove &amp; range, oven, and microwave, along with every other appliance listed on our services page. Combining repairs in one visit can save you time.
H2: What Makes Smithtown Homes Different
High-volume family laundry puts constant strain on washer bearings, drain pumps, dryer belts and heating elements. Busy family kitchens run the dishwasher daily and rely on disposals, so drain pumps, spray arms and clogged filters are frequent causes of service calls. Suburban kitchens in Smithtown often have double ovens, five-burner ranges and countertop cooktops that see heavy daily use. Larger family households mean refrigerators and garage or basement freezers work hard year-round, especially around holidays and summer gatherings. Understanding these local patterns helps our technicians check the likely culprits first and avoid wasted time.</t>
  </si>
  <si>
    <t xml:space="preserve">Cooktop Repair Suffolk County -&gt; /cooktop-repair/
Appliance Repair Smithtown -&gt; /appliance-repair-smithtown-ny/
Cooktop Repair in Huntington, NY -&gt; /cooktop-repair/huntington-ny/
Cooktop Repair in Islip, NY -&gt; /cooktop-repair/islip-ny/
Stove &amp; Range Repair in Smithtown -&gt; /stove-range-repair/smithtown-ny/
Oven Repair in Smithtown -&gt; /oven-repair/smithtown-ny/
Contact Us -&gt; /contact/</t>
  </si>
  <si>
    <t xml:space="preserve">Cooktop Repair Islip</t>
  </si>
  <si>
    <t xml:space="preserve">/cooktop-repair/islip-ny/</t>
  </si>
  <si>
    <t xml:space="preserve">Cooktop Repair Islip NY</t>
  </si>
  <si>
    <t xml:space="preserve">Cooktop Repair Islip, NY | Local Technicians</t>
  </si>
  <si>
    <t xml:space="preserve">Looking for cooktop repair in Islip, NY? Local technicians fix burner, igniter and induction faults. Upfront quotes. Call [PHONE].</t>
  </si>
  <si>
    <t xml:space="preserve">H1: Cooktop Repair in Islip, NY
Islip stretches across the South Shore, from waterfront communities near the Great South Bay to inland neighborhoods, with a wide mix of single-family homes, condos and rentals. When your cooktop fails, you need a technician who understands local homes and gets the job done right the first time. [BUSINESS NAME] provides cooktop repair in Islip and nearby neighborhoods, covering burner, igniter and induction faults for homeowners, renters and property managers.
Islip's mix of older bungalows and updated homes means both gas and electric cooking appliances, many with aging igniters and worn burner components. That is why Islip residents often call us for cooktop problems before they turn into costly breakdowns. Call [PHONE] or book online and we will arrange an appointment at your Islip address.
H2: Cooktop Repair Throughout Islip
Our technicians travel to homes and businesses across Islip, including Islip, East Islip, Islip Terrace, Bay Shore, Brentwood, Central Islip, Sayville, and Great River. Wherever you are located, we bring tools and common parts for most cooktop repairs to the first visit.
H2: Common Cooktop Problems We Fix in Islip
H3: Burner won't ignite
Dirty ports, a failed igniter or spark module.
H3: Induction zone not heating
A cracked glass top, failed power board or cooling fan problem.
H3: Radiant element not glowing
A failed element, limiter or infinite switch.
H3: Touch controls unresponsive
A control board fault or moisture beneath the glass.
H3: Cracked or damaged glass
Needs safe replacement to protect electronics.
H3: Constant clicking
A wet burner or short in the igniter circuit.
H2: How Islip Homeowners Can Get the Most From Their Cooktop
- Use flat-bottomed cookware on glass and induction tops.
- Wipe spills quickly to avoid permanent staining or damage.
- Avoid sliding heavy pans across glass.
- Keep gas burner heads aligned and clean.
H2: Our Repair Process in Islip
We remove the cooktop components needed to test each burner, switch and board, confirm the fault and quote the repair before ordering parts.
1. Call or book online and describe the problem with your cooktop.
2. We confirm your Islip address and schedule an appointment window.
3. The technician diagnoses the fault and gives a firm quote.
4. With your approval, we repair and test the appliance.
5. You receive an invoice and warranty details: [INSERT WARRANTY].
H2: Brands We Service in Islip
We repair cooktop models from Wolf, Thermador, Bosch, Miele, GE Profile, Samsung, KitchenAid, Viking, Frigidaire, and Whirlpool and more for customers in Islip. If you are unsure about your model, send us the model number and we will confirm we can help.
H2: Repair or Replace? Advice for Islip Residents
Cooktops often last 15 years or more. Replacement is usually considered only if the glass is cracked on an older unit or electronic boards are discontinued.
H2: Why Islip Customers Choose [BUSINESS NAME]
As a Suffolk County company, we know the area and the homes in it. We provide upfront quotes, treat your home with care and explain the problem clearly. Licensing and insurance: [INSERT DETAILS]. Customers in Islip call us because we respect their time and their budget.
H2: Cooktop Repair FAQs for Islip
Q: Do you provide cooktop repair in Islip?
A: Yes. We serve Islip and nearby areas including Islip, East Islip, Islip Terrace, and Bay Shore. Contact us to confirm availability for your address.
Q: How soon can you come to Islip for cooktop repair?
A: Availability varies by day. [INSERT YOUR SAME-DAY / NEXT-DAY POLICY]. We will offer the earliest window we have.
Q: How much does cooktop repair cost in Islip?
A: We diagnose the issue first and give a written price before starting, so there are no surprises. [INSERT DIAGNOSTIC FEE POLICY].
Q: Why is my gas cooktop clicking nonstop?
A: Moisture or food debris around the igniter is the most common cause.
Q: Can an induction cooktop be repaired?
A: Yes. Many faults, including power boards and fans, can be diagnosed and repaired.
H2: Book Cooktop Repair in Islip Today
Call [PHONE] or request service online. Our team will get your cooktop working again.
H2: Preparing for Your Islip Service Visit
A few simple steps help the technician work faster. Clear the area around your cooktop so there is room to work, note when the problem started and any error codes, and keep the model number handy. If the appliance is leaking, switch off its power and water supply where it is safe to do so. For apartment and condo buildings in Islip, let us know about parking, access or building rules in advance so your appointment runs smoothly.
H2: Other Appliance Repair Services in Islip
Often one appliance failing is a sign that others in the home are due for a check. In Islip we also repair stove &amp; range, oven, and microwave, along with every other appliance listed on our services page. Combining repairs in one visit can save you time.
H2: What Makes Islip Homes Different
Coastal humidity and salt air can shorten the life of metal components, and clogged dryer vents lengthen drying cycles in homes of every age. A varied housing stock means plumbing and drain setups differ widely from home to home, which affects how dishwashers and disposals drain. Islip's mix of older bungalows and updated homes means both gas and electric cooking appliances, many with aging igniters and worn burner components. Humid South Shore summers make refrigerators and freezers work harder, and dirty condenser coils are a common reason units run constantly. Understanding these local patterns helps our technicians check the likely culprits first and avoid wasted time.</t>
  </si>
  <si>
    <t xml:space="preserve">Cooktop Repair Suffolk County -&gt; /cooktop-repair/
Appliance Repair Islip -&gt; /appliance-repair-islip-ny/
Cooktop Repair in Babylon, NY -&gt; /cooktop-repair/babylon-ny/
Cooktop Repair in Patchogue, NY -&gt; /cooktop-repair/patchogue-ny/
Stove &amp; Range Repair in Islip -&gt; /stove-range-repair/islip-ny/
Oven Repair in Islip -&gt; /oven-repair/islip-ny/
Contact Us -&gt; /contact/</t>
  </si>
  <si>
    <t xml:space="preserve">Cooktop Repair Babylon</t>
  </si>
  <si>
    <t xml:space="preserve">/cooktop-repair/babylon-ny/</t>
  </si>
  <si>
    <t xml:space="preserve">Cooktop Repair Babylon NY</t>
  </si>
  <si>
    <t xml:space="preserve">Cooktop Repair Babylon, NY | Local Technicians</t>
  </si>
  <si>
    <t xml:space="preserve">Looking for cooktop repair in Babylon, NY? Local technicians fix burner, igniter and induction faults. Upfront quotes. Call [PHONE].</t>
  </si>
  <si>
    <t xml:space="preserve">H1: Cooktop Repair in Babylon, NY
The Town of Babylon covers busy South Shore villages and hamlets with a large share of well-kept single-family homes, plus apartments and rental units. When your cooktop fails, you need a technician who understands local homes and gets the job done right the first time. [BUSINESS NAME] provides cooktop repair in Babylon and nearby neighborhoods, covering burner, igniter and induction faults for homeowners, renters and property managers.
Many Babylon homes use gas ranges and wall ovens that have been in service for years, so igniters, thermostats and control boards are common repairs. That is why Babylon residents often call us for cooktop problems before they turn into costly breakdowns. Call [PHONE] or book online and we will arrange an appointment at your Babylon address.
H2: Cooktop Repair Throughout Babylon
Our technicians travel to homes and businesses across Babylon, including Babylon Village, Lindenhurst, Copiague, West Babylon, North Babylon, Deer Park, and Wyandanch. Wherever you are located, we bring tools and common parts for most cooktop repairs to the first visit.
H2: Common Cooktop Problems We Fix in Babylon
H3: Burner won't ignite
Dirty ports, a failed igniter or spark module.
H3: Induction zone not heating
A cracked glass top, failed power board or cooling fan problem.
H3: Radiant element not glowing
A failed element, limiter or infinite switch.
H3: Touch controls unresponsive
A control board fault or moisture beneath the glass.
H3: Cracked or damaged glass
Needs safe replacement to protect electronics.
H3: Constant clicking
A wet burner or short in the igniter circuit.
H2: How Babylon Homeowners Can Get the Most From Their Cooktop
- Use flat-bottomed cookware on glass and induction tops.
- Wipe spills quickly to avoid permanent staining or damage.
- Avoid sliding heavy pans across glass.
- Keep gas burner heads aligned and clean.
H2: Our Repair Process in Babylon
We remove the cooktop components needed to test each burner, switch and board, confirm the fault and quote the repair before ordering parts.
1. Call or book online and describe the problem with your cooktop.
2. We confirm your Babylon address and schedule an appointment window.
3. The technician diagnoses the fault and gives a firm quote.
4. With your approval, we repair and test the appliance.
5. You receive an invoice and warranty details: [INSERT WARRANTY].
H2: Brands We Service in Babylon
We repair cooktop models from Wolf, Thermador, Bosch, Miele, GE Profile, Samsung, KitchenAid, Viking, Frigidaire, and Whirlpool and more for customers in Babylon. If you are unsure about your model, send us the model number and we will confirm we can help.
H2: Repair or Replace? Advice for Babylon Residents
Cooktops often last 15 years or more. Replacement is usually considered only if the glass is cracked on an older unit or electronic boards are discontinued.
H2: Why Babylon Customers Choose [BUSINESS NAME]
As a Suffolk County company, we know the area and the homes in it. We provide upfront quotes, treat your home with care and explain the problem clearly. Licensing and insurance: [INSERT DETAILS]. Customers in Babylon call us because we respect their time and their budget.
H2: Cooktop Repair FAQs for Babylon
Q: Do you provide cooktop repair in Babylon?
A: Yes. We serve Babylon and nearby areas including Babylon Village, Lindenhurst, Copiague, and West Babylon. Contact us to confirm availability for your address.
Q: How soon can you come to Babylon for cooktop repair?
A: Availability varies by day. [INSERT YOUR SAME-DAY / NEXT-DAY POLICY]. We will offer the earliest window we have.
Q: How much does cooktop repair cost in Babylon?
A: We diagnose the issue first and give a written price before starting, so there are no surprises. [INSERT DIAGNOSTIC FEE POLICY].
Q: Why is my gas cooktop clicking nonstop?
A: Moisture or food debris around the igniter is the most common cause.
Q: Can an induction cooktop be repaired?
A: Yes. Many faults, including power boards and fans, can be diagnosed and repaired.
H2: Book Cooktop Repair in Babylon Today
Call [PHONE] or request service online. Our team will get your cooktop working again.
H2: Preparing for Your Babylon Service Visit
A few simple steps help the technician work faster. Clear the area around your cooktop so there is room to work, note when the problem started and any error codes, and keep the model number handy. If the appliance is leaking, switch off its power and water supply where it is safe to do so. For apartment and condo buildings in Babylon, let us know about parking, access or building rules in advance so your appointment runs smoothly.
H2: Other Appliance Repair Services in Babylon
Often one appliance failing is a sign that others in the home are due for a check. In Babylon we also repair stove &amp; range, oven, and microwave, along with every other appliance listed on our services page. Combining repairs in one visit can save you time.
H2: What Makes Babylon Homes Different
Compact laundry rooms and stackable units in smaller homes and apartments mean short vent runs where lint buildup quickly reduces drying performance. Dishwashers and disposals in compact kitchens often share tight cabinets, so leaks and slow drains are best caught early. Many Babylon homes use gas ranges and wall ovens that have been in service for years, so igniters, thermostats and control boards are common repairs. In older and smaller homes, refrigerators are often tucked into tight spaces with little ventilation, causing overheating and extra compressor strain. Understanding these local patterns helps our technicians check the likely culprits first and avoid wasted time.</t>
  </si>
  <si>
    <t xml:space="preserve">Cooktop Repair Suffolk County -&gt; /cooktop-repair/
Appliance Repair Babylon -&gt; /appliance-repair-babylon-ny/
Cooktop Repair in Islip, NY -&gt; /cooktop-repair/islip-ny/
Stove &amp; Range Repair in Babylon -&gt; /stove-range-repair/babylon-ny/
Oven Repair in Babylon -&gt; /oven-repair/babylon-ny/
Contact Us -&gt; /contact/</t>
  </si>
  <si>
    <t xml:space="preserve">Cooktop Repair Patchogue</t>
  </si>
  <si>
    <t xml:space="preserve">/cooktop-repair/patchogue-ny/</t>
  </si>
  <si>
    <t xml:space="preserve">Cooktop Repair Patchogue NY</t>
  </si>
  <si>
    <t xml:space="preserve">Cooktop Repair Patchogue, NY | Local Technicians</t>
  </si>
  <si>
    <t xml:space="preserve">Looking for cooktop repair in Patchogue, NY? Local technicians fix burner, igniter and induction faults. Upfront quotes. Call [PHONE].</t>
  </si>
  <si>
    <t xml:space="preserve">H1: Cooktop Repair in Patchogue, NY
Patchogue is a lively waterfront village with a walkable downtown, surrounded by neighborhoods of single-family homes, condos and apartments. When your cooktop fails, you need a technician who understands local homes and gets the job done right the first time. [BUSINESS NAME] provides cooktop repair in Patchogue and nearby neighborhoods, covering burner, igniter and induction faults for homeowners, renters and property managers.
Smaller downtown kitchens favor slide-in ranges, cooktops and over-the-range microwaves that share tight spaces and heavy use. That is why Patchogue residents often call us for cooktop problems before they turn into costly breakdowns. Call [PHONE] or book online and we will arrange an appointment at your Patchogue address.
H2: Cooktop Repair Throughout Patchogue
Our technicians travel to homes and businesses across Patchogue, including Patchogue Village, East Patchogue, North Patchogue, Blue Point, Bellport, Medford, and Holbrook. Wherever you are located, we bring tools and common parts for most cooktop repairs to the first visit.
H2: Common Cooktop Problems We Fix in Patchogue
H3: Burner won't ignite
Dirty ports, a failed igniter or spark module.
H3: Induction zone not heating
A cracked glass top, failed power board or cooling fan problem.
H3: Radiant element not glowing
A failed element, limiter or infinite switch.
H3: Touch controls unresponsive
A control board fault or moisture beneath the glass.
H3: Cracked or damaged glass
Needs safe replacement to protect electronics.
H3: Constant clicking
A wet burner or short in the igniter circuit.
H2: How Patchogue Homeowners Can Get the Most From Their Cooktop
- Use flat-bottomed cookware on glass and induction tops.
- Wipe spills quickly to avoid permanent staining or damage.
- Avoid sliding heavy pans across glass.
- Keep gas burner heads aligned and clean.
H2: Our Repair Process in Patchogue
We remove the cooktop components needed to test each burner, switch and board, confirm the fault and quote the repair before ordering parts.
1. Call or book online and describe the problem with your cooktop.
2. We confirm your Patchogue address and schedule an appointment window.
3. The technician diagnoses the fault and gives a firm quote.
4. With your approval, we repair and test the appliance.
5. You receive an invoice and warranty details: [INSERT WARRANTY].
H2: Brands We Service in Patchogue
We repair cooktop models from Wolf, Thermador, Bosch, Miele, GE Profile, Samsung, KitchenAid, Viking, Frigidaire, and Whirlpool and more for customers in Patchogue. If you are unsure about your model, send us the model number and we will confirm we can help.
H2: Repair or Replace? Advice for Patchogue Residents
Cooktops often last 15 years or more. Replacement is usually considered only if the glass is cracked on an older unit or electronic boards are discontinued.
H2: Why Patchogue Customers Choose [BUSINESS NAME]
As a Suffolk County company, we know the area and the homes in it. We provide upfront quotes, treat your home with care and explain the problem clearly. Licensing and insurance: [INSERT DETAILS]. Customers in Patchogue call us because we respect their time and their budget.
H2: Cooktop Repair FAQs for Patchogue
Q: Do you provide cooktop repair in Patchogue?
A: Yes. We serve Patchogue and nearby areas including Patchogue Village, East Patchogue, North Patchogue, and Blue Point. Contact us to confirm availability for your address.
Q: How soon can you come to Patchogue for cooktop repair?
A: Availability varies by day. [INSERT YOUR SAME-DAY / NEXT-DAY POLICY]. We will offer the earliest window we have.
Q: How much does cooktop repair cost in Patchogue?
A: We diagnose the issue first and give a written price before starting, so there are no surprises. [INSERT DIAGNOSTIC FEE POLICY].
Q: Why is my gas cooktop clicking nonstop?
A: Moisture or food debris around the igniter is the most common cause.
Q: Can an induction cooktop be repaired?
A: Yes. Many faults, including power boards and fans, can be diagnosed and repaired.
H2: Book Cooktop Repair in Patchogue Today
Call [PHONE] or request service online. Our team will get your cooktop working again.
H2: Preparing for Your Patchogue Service Visit
A few simple steps help the technician work faster. Clear the area around your cooktop so there is room to work, note when the problem started and any error codes, and keep the model number handy. If the appliance is leaking, switch off its power and water supply where it is safe to do so. For apartment and condo buildings in Patchogue, let us know about parking, access or building rules in advance so your appointment runs smoothly.
H2: Other Appliance Repair Services in Patchogue
Often one appliance failing is a sign that others in the home are due for a check. In Patchogue we also repair stove &amp; range, oven, and microwave, along with every other appliance listed on our services page. Combining repairs in one visit can save you time.
H2: What Makes Patchogue Homes Different
Condos and multi-unit buildings often use stackable washers and dryers or combo units, which need compact-model parts and careful diagnostics. Compact kitchens in apartments and condos use space-saving dishwashers and disposals, where drain issues and leaks can affect neighbors below. Smaller downtown kitchens favor slide-in ranges, cooktops and over-the-range microwaves that share tight spaces and heavy use. Apartments and condos near downtown often use compact and counter-depth refrigerators, where ventilation and gasket wear are frequent issues. Understanding these local patterns helps our technicians check the likely culprits first and avoid wasted time.</t>
  </si>
  <si>
    <t xml:space="preserve">Cooktop Repair Suffolk County -&gt; /cooktop-repair/
Appliance Repair Patchogue -&gt; /appliance-repair-patchogue-ny/
Cooktop Repair in Islip, NY -&gt; /cooktop-repair/islip-ny/
Stove &amp; Range Repair in Patchogue -&gt; /stove-range-repair/patchogue-ny/
Oven Repair in Patchogue -&gt; /oven-repair/patchogue-ny/
Contact Us -&gt; /contact/</t>
  </si>
  <si>
    <t xml:space="preserve">Microwave Repair Huntington</t>
  </si>
  <si>
    <t xml:space="preserve">/microwave-repair/huntington-ny/</t>
  </si>
  <si>
    <t xml:space="preserve">Microwave Repair Huntington NY</t>
  </si>
  <si>
    <t xml:space="preserve">Microwave Repair Huntington, NY | Local Technicians</t>
  </si>
  <si>
    <t xml:space="preserve">Looking for microwave repair in Huntington, NY? Local technicians fix heating, display and door faults. Upfront quotes. Call [PHONE].</t>
  </si>
  <si>
    <t xml:space="preserve">H1: Microwave Repair in Huntington, NY
Huntington blends a walkable historic village with established North Shore neighborhoods, many of them with older kitchens, finished basements and a mix of classic and high-end appliances. When your microwave fails, you need a technician who understands local homes and gets the job done right the first time. [BUSINESS NAME] provides microwave repair in Huntington and nearby neighborhoods, covering heating, display and door faults for homeowners, renters and property managers.
Older Huntington homes often pair vintage gas ranges with updated kitchens, and renovated kitchens add built-in wall ovens and cooktops that need specialist care. That is why Huntington residents often call us for microwave problems before they turn into costly breakdowns. Call [PHONE] or book online and we will arrange an appointment at your Huntington address.
H2: Microwave Repair Throughout Huntington
Our technicians travel to homes and businesses across Huntington, including Huntington Village, Huntington Station, Greenlawn, Halesite, Cold Spring Harbor, Melville, South Huntington, and Dix Hills. Wherever you are located, we bring tools and common parts for most microwave repairs to the first visit.
H2: Common Microwave Problems We Fix in Huntington
H3: Runs but doesn't heat
A failed magnetron, high-voltage diode or capacitor, which must be handled by a professional.
H3: Sparking inside
A damaged waveguide cover, worn interior paint or foreign object.
H3: Won't start
A faulty door switch, fuse or control board.
H3: Turntable not spinning
A failed motor, worn coupler or roller ring.
H3: Display or keypad not responding
A control panel or board fault.
H3: Noisy operation
A worn fan motor or loose component.
H2: How Huntington Homeowners Can Get the Most From Their Microwave
- Never run the microwave empty.
- Keep the interior clean and the waveguide cover intact.
- Don't use metal or foil-trimmed dishes.
- Check that the door closes firmly.
H2: Our Repair Process in Huntington
Because microwaves store high-voltage energy even when unplugged, only trained technicians discharge and test the components. We confirm the fault and quote before repair.
1. Call or book online and describe the problem with your microwave.
2. We confirm your Huntington address and schedule an appointment window.
3. The technician diagnoses the fault and gives a firm quote.
4. With your approval, we repair and test the appliance.
5. You receive an invoice and warranty details: [INSERT WARRANTY].
H2: Brands We Service in Huntington
We repair microwave models from GE, Samsung, LG, Whirlpool, Sharp, Panasonic, Frigidaire, KitchenAid, Bosch, Sharp, and Maytag and more for customers in Huntington. If you are unsure about your model, send us the model number and we will confirm we can help.
H2: Repair or Replace? Advice for Huntington Residents
Because countertop microwaves are inexpensive, replacement is often best for small units. Built-in and over-the-range models are generally worth repairing.
H2: Why Huntington Customers Choose [BUSINESS NAME]
As a Suffolk County company, we know the area and the homes in it. We provide upfront quotes, treat your home with care and explain the problem clearly. Licensing and insurance: [INSERT DETAILS]. Customers in Huntington call us because we respect their time and their budget.
H2: Microwave Repair FAQs for Huntington
Q: Do you provide microwave repair in Huntington?
A: Yes. We serve Huntington and nearby areas including Huntington Village, Huntington Station, Greenlawn, and Halesite. Contact us to confirm availability for your address.
Q: How soon can you come to Huntington for microwave repair?
A: Availability varies by day. [INSERT YOUR SAME-DAY / NEXT-DAY POLICY]. We will offer the earliest window we have.
Q: How much does microwave repair cost in Huntington?
A: We diagnose the issue first and give a written price before starting, so there are no surprises. [INSERT DIAGNOSTIC FEE POLICY].
Q: Why does my microwave run but not heat?
A: A failed magnetron, diode or capacitor is typically responsible.
Q: Is it worth repairing a microwave?
A: Often for over-the-range and built-in models; for cheap countertop units replacement may be better.
H2: Book Microwave Repair in Huntington Today
Call [PHONE] or request service online. Our team will get your microwave working again.
H2: Preparing for Your Huntington Service Visit
A few simple steps help the technician work faster. Clear the area around your microwave so there is room to work, note when the problem started and any error codes, and keep the model number handy. If the appliance is leaking, switch off its power and water supply where it is safe to do so. For apartment and condo buildings in Huntington, let us know about parking, access or building rules in advance so your appointment runs smoothly.</t>
  </si>
  <si>
    <t xml:space="preserve">Microwave Repair Suffolk County -&gt; /microwave-repair/
Appliance Repair Huntington -&gt; /appliance-repair-huntington-ny/
Microwave Repair in Smithtown, NY -&gt; /microwave-repair/smithtown-ny/
Oven Repair in Huntington -&gt; /oven-repair/huntington-ny/
Cooktop Repair in Huntington -&gt; /cooktop-repair/huntington-ny/
Contact Us -&gt; /contact/</t>
  </si>
  <si>
    <t xml:space="preserve">Microwave Repair Smithtown</t>
  </si>
  <si>
    <t xml:space="preserve">/microwave-repair/smithtown-ny/</t>
  </si>
  <si>
    <t xml:space="preserve">Microwave Repair Smithtown NY</t>
  </si>
  <si>
    <t xml:space="preserve">Microwave Repair Smithtown, NY | Local Technicians</t>
  </si>
  <si>
    <t xml:space="preserve">Looking for microwave repair in Smithtown, NY? Local technicians fix heating, display and door faults. Upfront quotes. Call [PHONE].</t>
  </si>
  <si>
    <t xml:space="preserve">H1: Microwave Repair in Smithtown, NY
Smithtown is largely suburban, with family-sized homes, busy kitchens and households that run several appliances every single day. When your microwave fails, you need a technician who understands local homes and gets the job done right the first time. [BUSINESS NAME] provides microwave repair in Smithtown and nearby neighborhoods, covering heating, display and door faults for homeowners, renters and property managers.
Suburban kitchens in Smithtown often have double ovens, five-burner ranges and countertop cooktops that see heavy daily use. That is why Smithtown residents often call us for microwave problems before they turn into costly breakdowns. Call [PHONE] or book online and we will arrange an appointment at your Smithtown address.
H2: Microwave Repair Throughout Smithtown
Our technicians travel to homes and businesses across Smithtown, including Smithtown, Kings Park, St. James, Nesconset, Hauppauge, Fort Salonga, and Head of the Harbor. Wherever you are located, we bring tools and common parts for most microwave repairs to the first visit.
H2: Common Microwave Problems We Fix in Smithtown
H3: Runs but doesn't heat
A failed magnetron, high-voltage diode or capacitor, which must be handled by a professional.
H3: Sparking inside
A damaged waveguide cover, worn interior paint or foreign object.
H3: Won't start
A faulty door switch, fuse or control board.
H3: Turntable not spinning
A failed motor, worn coupler or roller ring.
H3: Display or keypad not responding
A control panel or board fault.
H3: Noisy operation
A worn fan motor or loose component.
H2: How Smithtown Homeowners Can Get the Most From Their Microwave
- Never run the microwave empty.
- Keep the interior clean and the waveguide cover intact.
- Don't use metal or foil-trimmed dishes.
- Check that the door closes firmly.
H2: Our Repair Process in Smithtown
Because microwaves store high-voltage energy even when unplugged, only trained technicians discharge and test the components. We confirm the fault and quote before repair.
1. Call or book online and describe the problem with your microwave.
2. We confirm your Smithtown address and schedule an appointment window.
3. The technician diagnoses the fault and gives a firm quote.
4. With your approval, we repair and test the appliance.
5. You receive an invoice and warranty details: [INSERT WARRANTY].
H2: Brands We Service in Smithtown
We repair microwave models from GE, Samsung, LG, Whirlpool, Sharp, Panasonic, Frigidaire, KitchenAid, Bosch, Sharp, and Maytag and more for customers in Smithtown. If you are unsure about your model, send us the model number and we will confirm we can help.
H2: Repair or Replace? Advice for Smithtown Residents
Because countertop microwaves are inexpensive, replacement is often best for small units. Built-in and over-the-range models are generally worth repairing.
H2: Why Smithtown Customers Choose [BUSINESS NAME]
As a Suffolk County company, we know the area and the homes in it. We provide upfront quotes, treat your home with care and explain the problem clearly. Licensing and insurance: [INSERT DETAILS]. Customers in Smithtown call us because we respect their time and their budget.
H2: Microwave Repair FAQs for Smithtown
Q: Do you provide microwave repair in Smithtown?
A: Yes. We serve Smithtown and nearby areas including Smithtown, Kings Park, St. James, and Nesconset. Contact us to confirm availability for your address.
Q: How soon can you come to Smithtown for microwave repair?
A: Availability varies by day. [INSERT YOUR SAME-DAY / NEXT-DAY POLICY]. We will offer the earliest window we have.
Q: How much does microwave repair cost in Smithtown?
A: We diagnose the issue first and give a written price before starting, so there are no surprises. [INSERT DIAGNOSTIC FEE POLICY].
Q: Why does my microwave run but not heat?
A: A failed magnetron, diode or capacitor is typically responsible.
Q: Is it worth repairing a microwave?
A: Often for over-the-range and built-in models; for cheap countertop units replacement may be better.
H2: Book Microwave Repair in Smithtown Today
Call [PHONE] or request service online. Our team will get your microwave working again.
H2: Preparing for Your Smithtown Service Visit
A few simple steps help the technician work faster. Clear the area around your microwave so there is room to work, note when the problem started and any error codes, and keep the model number handy. If the appliance is leaking, switch off its power and water supply where it is safe to do so. For apartment and condo buildings in Smithtown, let us know about parking, access or building rules in advance so your appointment runs smoothly.
H2: Other Appliance Repair Services in Smithtown
Often one appliance failing is a sign that others in the home are due for a check. In Smithtown we also repair oven, cooktop, and stove &amp; range, along with every other appliance listed on our services page. Combining repairs in one visit can save you time.</t>
  </si>
  <si>
    <t xml:space="preserve">Microwave Repair Suffolk County -&gt; /microwave-repair/
Appliance Repair Smithtown -&gt; /appliance-repair-smithtown-ny/
Microwave Repair in Huntington, NY -&gt; /microwave-repair/huntington-ny/
Microwave Repair in Islip, NY -&gt; /microwave-repair/islip-ny/
Oven Repair in Smithtown -&gt; /oven-repair/smithtown-ny/
Cooktop Repair in Smithtown -&gt; /cooktop-repair/smithtown-ny/
Contact Us -&gt; /contact/</t>
  </si>
  <si>
    <t xml:space="preserve">Microwave Repair Islip</t>
  </si>
  <si>
    <t xml:space="preserve">/microwave-repair/islip-ny/</t>
  </si>
  <si>
    <t xml:space="preserve">Microwave Repair Islip NY</t>
  </si>
  <si>
    <t xml:space="preserve">Microwave Repair Islip, NY | Local Technicians</t>
  </si>
  <si>
    <t xml:space="preserve">Looking for microwave repair in Islip, NY? Local technicians fix heating, display and door faults. Upfront quotes. Call [PHONE].</t>
  </si>
  <si>
    <t xml:space="preserve">H1: Microwave Repair in Islip, NY
Islip stretches across the South Shore, from waterfront communities near the Great South Bay to inland neighborhoods, with a wide mix of single-family homes, condos and rentals. When your microwave fails, you need a technician who understands local homes and gets the job done right the first time. [BUSINESS NAME] provides microwave repair in Islip and nearby neighborhoods, covering heating, display and door faults for homeowners, renters and property managers.
Islip's mix of older bungalows and updated homes means both gas and electric cooking appliances, many with aging igniters and worn burner components. That is why Islip residents often call us for microwave problems before they turn into costly breakdowns. Call [PHONE] or book online and we will arrange an appointment at your Islip address.
H2: Microwave Repair Throughout Islip
Our technicians travel to homes and businesses across Islip, including Islip, East Islip, Islip Terrace, Bay Shore, Brentwood, Central Islip, Sayville, and Great River. Wherever you are located, we bring tools and common parts for most microwave repairs to the first visit.
H2: Common Microwave Problems We Fix in Islip
H3: Runs but doesn't heat
A failed magnetron, high-voltage diode or capacitor, which must be handled by a professional.
H3: Sparking inside
A damaged waveguide cover, worn interior paint or foreign object.
H3: Won't start
A faulty door switch, fuse or control board.
H3: Turntable not spinning
A failed motor, worn coupler or roller ring.
H3: Display or keypad not responding
A control panel or board fault.
H3: Noisy operation
A worn fan motor or loose component.
H2: How Islip Homeowners Can Get the Most From Their Microwave
- Never run the microwave empty.
- Keep the interior clean and the waveguide cover intact.
- Don't use metal or foil-trimmed dishes.
- Check that the door closes firmly.
H2: Our Repair Process in Islip
Because microwaves store high-voltage energy even when unplugged, only trained technicians discharge and test the components. We confirm the fault and quote before repair.
1. Call or book online and describe the problem with your microwave.
2. We confirm your Islip address and schedule an appointment window.
3. The technician diagnoses the fault and gives a firm quote.
4. With your approval, we repair and test the appliance.
5. You receive an invoice and warranty details: [INSERT WARRANTY].
H2: Brands We Service in Islip
We repair microwave models from GE, Samsung, LG, Whirlpool, Sharp, Panasonic, Frigidaire, KitchenAid, Bosch, Sharp, and Maytag and more for customers in Islip. If you are unsure about your model, send us the model number and we will confirm we can help.
H2: Repair or Replace? Advice for Islip Residents
Because countertop microwaves are inexpensive, replacement is often best for small units. Built-in and over-the-range models are generally worth repairing.
H2: Why Islip Customers Choose [BUSINESS NAME]
As a Suffolk County company, we know the area and the homes in it. We provide upfront quotes, treat your home with care and explain the problem clearly. Licensing and insurance: [INSERT DETAILS]. Customers in Islip call us because we respect their time and their budget.
H2: Microwave Repair FAQs for Islip
Q: Do you provide microwave repair in Islip?
A: Yes. We serve Islip and nearby areas including Islip, East Islip, Islip Terrace, and Bay Shore. Contact us to confirm availability for your address.
Q: How soon can you come to Islip for microwave repair?
A: Availability varies by day. [INSERT YOUR SAME-DAY / NEXT-DAY POLICY]. We will offer the earliest window we have.
Q: How much does microwave repair cost in Islip?
A: We diagnose the issue first and give a written price before starting, so there are no surprises. [INSERT DIAGNOSTIC FEE POLICY].
Q: Why does my microwave run but not heat?
A: A failed magnetron, diode or capacitor is typically responsible.
Q: Is it worth repairing a microwave?
A: Often for over-the-range and built-in models; for cheap countertop units replacement may be better.
H2: Book Microwave Repair in Islip Today
Call [PHONE] or request service online. Our team will get your microwave working again.
H2: Preparing for Your Islip Service Visit
A few simple steps help the technician work faster. Clear the area around your microwave so there is room to work, note when the problem started and any error codes, and keep the model number handy. If the appliance is leaking, switch off its power and water supply where it is safe to do so. For apartment and condo buildings in Islip, let us know about parking, access or building rules in advance so your appointment runs smoothly.</t>
  </si>
  <si>
    <t xml:space="preserve">Microwave Repair Suffolk County -&gt; /microwave-repair/
Appliance Repair Islip -&gt; /appliance-repair-islip-ny/
Microwave Repair in Babylon, NY -&gt; /microwave-repair/babylon-ny/
Microwave Repair in Patchogue, NY -&gt; /microwave-repair/patchogue-ny/
Oven Repair in Islip -&gt; /oven-repair/islip-ny/
Cooktop Repair in Islip -&gt; /cooktop-repair/islip-ny/
Contact Us -&gt; /contact/</t>
  </si>
  <si>
    <t xml:space="preserve">Microwave Repair Babylon</t>
  </si>
  <si>
    <t xml:space="preserve">/microwave-repair/babylon-ny/</t>
  </si>
  <si>
    <t xml:space="preserve">Microwave Repair Babylon NY</t>
  </si>
  <si>
    <t xml:space="preserve">Microwave Repair Babylon, NY | Local Technicians</t>
  </si>
  <si>
    <t xml:space="preserve">Looking for microwave repair in Babylon, NY? Local technicians fix heating, display and door faults. Upfront quotes. Call [PHONE].</t>
  </si>
  <si>
    <t xml:space="preserve">H1: Microwave Repair in Babylon, NY
The Town of Babylon covers busy South Shore villages and hamlets with a large share of well-kept single-family homes, plus apartments and rental units. When your microwave fails, you need a technician who understands local homes and gets the job done right the first time. [BUSINESS NAME] provides microwave repair in Babylon and nearby neighborhoods, covering heating, display and door faults for homeowners, renters and property managers.
Many Babylon homes use gas ranges and wall ovens that have been in service for years, so igniters, thermostats and control boards are common repairs. That is why Babylon residents often call us for microwave problems before they turn into costly breakdowns. Call [PHONE] or book online and we will arrange an appointment at your Babylon address.
H2: Microwave Repair Throughout Babylon
Our technicians travel to homes and businesses across Babylon, including Babylon Village, Lindenhurst, Copiague, West Babylon, North Babylon, Deer Park, and Wyandanch. Wherever you are located, we bring tools and common parts for most microwave repairs to the first visit.
H2: Common Microwave Problems We Fix in Babylon
H3: Runs but doesn't heat
A failed magnetron, high-voltage diode or capacitor, which must be handled by a professional.
H3: Sparking inside
A damaged waveguide cover, worn interior paint or foreign object.
H3: Won't start
A faulty door switch, fuse or control board.
H3: Turntable not spinning
A failed motor, worn coupler or roller ring.
H3: Display or keypad not responding
A control panel or board fault.
H3: Noisy operation
A worn fan motor or loose component.
H2: How Babylon Homeowners Can Get the Most From Their Microwave
- Never run the microwave empty.
- Keep the interior clean and the waveguide cover intact.
- Don't use metal or foil-trimmed dishes.
- Check that the door closes firmly.
H2: Our Repair Process in Babylon
Because microwaves store high-voltage energy even when unplugged, only trained technicians discharge and test the components. We confirm the fault and quote before repair.
1. Call or book online and describe the problem with your microwave.
2. We confirm your Babylon address and schedule an appointment window.
3. The technician diagnoses the fault and gives a firm quote.
4. With your approval, we repair and test the appliance.
5. You receive an invoice and warranty details: [INSERT WARRANTY].
H2: Brands We Service in Babylon
We repair microwave models from GE, Samsung, LG, Whirlpool, Sharp, Panasonic, Frigidaire, KitchenAid, Bosch, Sharp, and Maytag and more for customers in Babylon. If you are unsure about your model, send us the model number and we will confirm we can help.
H2: Repair or Replace? Advice for Babylon Residents
Because countertop microwaves are inexpensive, replacement is often best for small units. Built-in and over-the-range models are generally worth repairing.
H2: Why Babylon Customers Choose [BUSINESS NAME]
As a Suffolk County company, we know the area and the homes in it. We provide upfront quotes, treat your home with care and explain the problem clearly. Licensing and insurance: [INSERT DETAILS]. Customers in Babylon call us because we respect their time and their budget.
H2: Microwave Repair FAQs for Babylon
Q: Do you provide microwave repair in Babylon?
A: Yes. We serve Babylon and nearby areas including Babylon Village, Lindenhurst, Copiague, and West Babylon. Contact us to confirm availability for your address.
Q: How soon can you come to Babylon for microwave repair?
A: Availability varies by day. [INSERT YOUR SAME-DAY / NEXT-DAY POLICY]. We will offer the earliest window we have.
Q: How much does microwave repair cost in Babylon?
A: We diagnose the issue first and give a written price before starting, so there are no surprises. [INSERT DIAGNOSTIC FEE POLICY].
Q: Why does my microwave run but not heat?
A: A failed magnetron, diode or capacitor is typically responsible.
Q: Is it worth repairing a microwave?
A: Often for over-the-range and built-in models; for cheap countertop units replacement may be better.
H2: Book Microwave Repair in Babylon Today
Call [PHONE] or request service online. Our team will get your microwave working again.
H2: Preparing for Your Babylon Service Visit
A few simple steps help the technician work faster. Clear the area around your microwave so there is room to work, note when the problem started and any error codes, and keep the model number handy. If the appliance is leaking, switch off its power and water supply where it is safe to do so. For apartment and condo buildings in Babylon, let us know about parking, access or building rules in advance so your appointment runs smoothly.</t>
  </si>
  <si>
    <t xml:space="preserve">Microwave Repair Suffolk County -&gt; /microwave-repair/
Appliance Repair Babylon -&gt; /appliance-repair-babylon-ny/
Microwave Repair in Islip, NY -&gt; /microwave-repair/islip-ny/
Oven Repair in Babylon -&gt; /oven-repair/babylon-ny/
Cooktop Repair in Babylon -&gt; /cooktop-repair/babylon-ny/
Contact Us -&gt; /contact/</t>
  </si>
  <si>
    <t xml:space="preserve">Microwave Repair Patchogue</t>
  </si>
  <si>
    <t xml:space="preserve">/microwave-repair/patchogue-ny/</t>
  </si>
  <si>
    <t xml:space="preserve">Microwave Repair Patchogue NY</t>
  </si>
  <si>
    <t xml:space="preserve">Microwave Repair Patchogue, NY | Local Technicians</t>
  </si>
  <si>
    <t xml:space="preserve">Looking for microwave repair in Patchogue, NY? Local technicians fix heating, display and door faults. Upfront quotes. Call [PHONE].</t>
  </si>
  <si>
    <t xml:space="preserve">H1: Microwave Repair in Patchogue, NY
Patchogue is a lively waterfront village with a walkable downtown, surrounded by neighborhoods of single-family homes, condos and apartments. When your microwave fails, you need a technician who understands local homes and gets the job done right the first time. [BUSINESS NAME] provides microwave repair in Patchogue and nearby neighborhoods, covering heating, display and door faults for homeowners, renters and property managers.
Smaller downtown kitchens favor slide-in ranges, cooktops and over-the-range microwaves that share tight spaces and heavy use. That is why Patchogue residents often call us for microwave problems before they turn into costly breakdowns. Call [PHONE] or book online and we will arrange an appointment at your Patchogue address.
H2: Microwave Repair Throughout Patchogue
Our technicians travel to homes and businesses across Patchogue, including Patchogue Village, East Patchogue, North Patchogue, Blue Point, Bellport, Medford, and Holbrook. Wherever you are located, we bring tools and common parts for most microwave repairs to the first visit.
H2: Common Microwave Problems We Fix in Patchogue
H3: Runs but doesn't heat
A failed magnetron, high-voltage diode or capacitor, which must be handled by a professional.
H3: Sparking inside
A damaged waveguide cover, worn interior paint or foreign object.
H3: Won't start
A faulty door switch, fuse or control board.
H3: Turntable not spinning
A failed motor, worn coupler or roller ring.
H3: Display or keypad not responding
A control panel or board fault.
H3: Noisy operation
A worn fan motor or loose component.
H2: How Patchogue Homeowners Can Get the Most From Their Microwave
- Never run the microwave empty.
- Keep the interior clean and the waveguide cover intact.
- Don't use metal or foil-trimmed dishes.
- Check that the door closes firmly.
H2: Our Repair Process in Patchogue
Because microwaves store high-voltage energy even when unplugged, only trained technicians discharge and test the components. We confirm the fault and quote before repair.
1. Call or book online and describe the problem with your microwave.
2. We confirm your Patchogue address and schedule an appointment window.
3. The technician diagnoses the fault and gives a firm quote.
4. With your approval, we repair and test the appliance.
5. You receive an invoice and warranty details: [INSERT WARRANTY].
H2: Brands We Service in Patchogue
We repair microwave models from GE, Samsung, LG, Whirlpool, Sharp, Panasonic, Frigidaire, KitchenAid, Bosch, Sharp, and Maytag and more for customers in Patchogue. If you are unsure about your model, send us the model number and we will confirm we can help.
H2: Repair or Replace? Advice for Patchogue Residents
Because countertop microwaves are inexpensive, replacement is often best for small units. Built-in and over-the-range models are generally worth repairing.
H2: Why Patchogue Customers Choose [BUSINESS NAME]
As a Suffolk County company, we know the area and the homes in it. We provide upfront quotes, treat your home with care and explain the problem clearly. Licensing and insurance: [INSERT DETAILS]. Customers in Patchogue call us because we respect their time and their budget.
H2: Microwave Repair FAQs for Patchogue
Q: Do you provide microwave repair in Patchogue?
A: Yes. We serve Patchogue and nearby areas including Patchogue Village, East Patchogue, North Patchogue, and Blue Point. Contact us to confirm availability for your address.
Q: How soon can you come to Patchogue for microwave repair?
A: Availability varies by day. [INSERT YOUR SAME-DAY / NEXT-DAY POLICY]. We will offer the earliest window we have.
Q: How much does microwave repair cost in Patchogue?
A: We diagnose the issue first and give a written price before starting, so there are no surprises. [INSERT DIAGNOSTIC FEE POLICY].
Q: Why does my microwave run but not heat?
A: A failed magnetron, diode or capacitor is typically responsible.
Q: Is it worth repairing a microwave?
A: Often for over-the-range and built-in models; for cheap countertop units replacement may be better.
H2: Book Microwave Repair in Patchogue Today
Call [PHONE] or request service online. Our team will get your microwave working again.
H2: Preparing for Your Patchogue Service Visit
A few simple steps help the technician work faster. Clear the area around your microwave so there is room to work, note when the problem started and any error codes, and keep the model number handy. If the appliance is leaking, switch off its power and water supply where it is safe to do so. For apartment and condo buildings in Patchogue, let us know about parking, access or building rules in advance so your appointment runs smoothly.
H2: Other Appliance Repair Services in Patchogue
Often one appliance failing is a sign that others in the home are due for a check. In Patchogue we also repair oven, cooktop, and stove &amp; range, along with every other appliance listed on our services page. Combining repairs in one visit can save you time.</t>
  </si>
  <si>
    <t xml:space="preserve">Microwave Repair Suffolk County -&gt; /microwave-repair/
Appliance Repair Patchogue -&gt; /appliance-repair-patchogue-ny/
Microwave Repair in Islip, NY -&gt; /microwave-repair/islip-ny/
Oven Repair in Patchogue -&gt; /oven-repair/patchogue-ny/
Cooktop Repair in Patchogue -&gt; /cooktop-repair/patchogue-ny/
Contact Us -&gt; /contact/</t>
  </si>
  <si>
    <t xml:space="preserve">Ice Maker Repair Huntington</t>
  </si>
  <si>
    <t xml:space="preserve">/ice-maker-repair/huntington-ny/</t>
  </si>
  <si>
    <t xml:space="preserve">Ice Maker Repair Huntington NY</t>
  </si>
  <si>
    <t xml:space="preserve">Ice Maker Repair Huntington, NY | Local Technicians</t>
  </si>
  <si>
    <t xml:space="preserve">Looking for ice maker repair in Huntington, NY? Local technicians fix no ice, slow production and leaks. Upfront quotes. Call [PHONE].</t>
  </si>
  <si>
    <t xml:space="preserve">H1: Ice Maker Repair in Huntington, NY
Huntington blends a walkable historic village with established North Shore neighborhoods, many of them with older kitchens, finished basements and a mix of classic and high-end appliances. When your ice maker fails, you need a technician who understands local homes and gets the job done right the first time. [BUSINESS NAME] provides ice maker repair in Huntington and nearby neighborhoods, covering no ice, slow production and leaks for homeowners, renters and property managers.
Larger North Shore homes often run a main refrigerator plus a basement freezer or beverage fridge, so units get heavy use and can age unnoticed until they fail. That is why Huntington residents often call us for ice maker problems before they turn into costly breakdowns. Call [PHONE] or book online and we will arrange an appointment at your Huntington address.
H2: Ice Maker Repair Throughout Huntington
Our technicians travel to homes and businesses across Huntington, including Huntington Village, Huntington Station, Greenlawn, Halesite, Cold Spring Harbor, Melville, South Huntington, and Dix Hills. Wherever you are located, we bring tools and common parts for most ice maker repairs to the first visit.
H2: Common Ice Maker Problems We Fix in Huntington
H3: No ice production
A failed water inlet valve, frozen fill tube or faulty ice maker module.
H3: Small or hollow cubes
Low water pressure, a clogged filter or a partially frozen fill line.
H3: Ice maker leaking
A cracked water line, loose fitting or overfilled mold.
H3: Ice tastes or smells off
An old water filter or unclean bin.
H3: Jammed or stuck ice
Cubes melting and refreezing from temperature swings.
H3: Dispenser not working
A faulty switch, door seal or motor.
H2: How Huntington Homeowners Can Get the Most From Their Ice Maker
- Replace the water filter every six months.
- Keep the freezer at 0°F.
- Empty and clean the bin regularly.
- Do not store items against the ice maker.
H2: Our Repair Process in Huntington
We check water supply, pressure, filters, the fill tube and the ice maker module itself, then restore production and test several cycles.
1. Call or book online and describe the problem with your ice maker.
2. We confirm your Huntington address and schedule an appointment window.
3. The technician diagnoses the fault and gives a firm quote.
4. With your approval, we repair and test the appliance.
5. You receive an invoice and warranty details: [INSERT WARRANTY].
H2: Brands We Service in Huntington
We repair ice maker models from Scotsman, Manitowoc, U-Line, Sub-Zero, Whirlpool, GE, Samsung, LG, Frigidaire, and Hoshizaki and more for customers in Huntington. If you are unsure about your model, send us the model number and we will confirm we can help.
H2: Repair or Replace? Advice for Huntington Residents
Replacement ice maker modules are typically affordable, so repair is usually worthwhile for refrigerators and under-counter units alike.
H2: Why Huntington Customers Choose [BUSINESS NAME]
As a Suffolk County company, we know the area and the homes in it. We provide upfront quotes, treat your home with care and explain the problem clearly. Licensing and insurance: [INSERT DETAILS]. Customers in Huntington call us because we respect their time and their budget.
H2: Ice Maker Repair FAQs for Huntington
Q: Do you provide ice maker repair in Huntington?
A: Yes. We serve Huntington and nearby areas including Huntington Village, Huntington Station, Greenlawn, and Halesite. Contact us to confirm availability for your address.
Q: How soon can you come to Huntington for ice maker repair?
A: Availability varies by day. [INSERT YOUR SAME-DAY / NEXT-DAY POLICY]. We will offer the earliest window we have.
Q: How much does ice maker repair cost in Huntington?
A: We diagnose the issue first and give a written price before starting, so there are no surprises. [INSERT DIAGNOSTIC FEE POLICY].
Q: Why has my ice maker stopped making ice?
A: A frozen fill tube, failed inlet valve or faulty module is the usual cause.
Q: How often should I change the water filter?
A: Most manufacturers recommend every six months.
H2: Book Ice Maker Repair in Huntington Today
Call [PHONE] or request service online. Our team will get your ice maker working again.
H2: Preparing for Your Huntington Service Visit
A few simple steps help the technician work faster. Clear the area around your ice maker so there is room to work, note when the problem started and any error codes, and keep the model number handy. If the appliance is leaking, switch off its power and water supply where it is safe to do so. For apartment and condo buildings in Huntington, let us know about parking, access or building rules in advance so your appointment runs smoothly.</t>
  </si>
  <si>
    <t xml:space="preserve">Ice Maker Repair Suffolk County -&gt; /ice-maker-repair/
Appliance Repair Huntington -&gt; /appliance-repair-huntington-ny/
Ice Maker Repair in Smithtown, NY -&gt; /ice-maker-repair/smithtown-ny/
Refrigerator Repair in Huntington -&gt; /refrigerator-repair/huntington-ny/
Freezer Repair in Huntington -&gt; /freezer-repair/huntington-ny/
Contact Us -&gt; /contact/</t>
  </si>
  <si>
    <t xml:space="preserve">Ice Maker Repair Smithtown</t>
  </si>
  <si>
    <t xml:space="preserve">/ice-maker-repair/smithtown-ny/</t>
  </si>
  <si>
    <t xml:space="preserve">Ice Maker Repair Smithtown NY</t>
  </si>
  <si>
    <t xml:space="preserve">Ice Maker Repair Smithtown, NY | Local Technicians</t>
  </si>
  <si>
    <t xml:space="preserve">Looking for ice maker repair in Smithtown, NY? Local technicians fix no ice, slow production and leaks. Upfront quotes. Call [PHONE].</t>
  </si>
  <si>
    <t xml:space="preserve">H1: Ice Maker Repair in Smithtown, NY
Smithtown is largely suburban, with family-sized homes, busy kitchens and households that run several appliances every single day. When your ice maker fails, you need a technician who understands local homes and gets the job done right the first time. [BUSINESS NAME] provides ice maker repair in Smithtown and nearby neighborhoods, covering no ice, slow production and leaks for homeowners, renters and property managers.
Larger family households mean refrigerators and garage or basement freezers work hard year-round, especially around holidays and summer gatherings. That is why Smithtown residents often call us for ice maker problems before they turn into costly breakdowns. Call [PHONE] or book online and we will arrange an appointment at your Smithtown address.
H2: Ice Maker Repair Throughout Smithtown
Our technicians travel to homes and businesses across Smithtown, including Smithtown, Kings Park, St. James, Nesconset, Hauppauge, Fort Salonga, and Head of the Harbor. Wherever you are located, we bring tools and common parts for most ice maker repairs to the first visit.
H2: Common Ice Maker Problems We Fix in Smithtown
H3: No ice production
A failed water inlet valve, frozen fill tube or faulty ice maker module.
H3: Small or hollow cubes
Low water pressure, a clogged filter or a partially frozen fill line.
H3: Ice maker leaking
A cracked water line, loose fitting or overfilled mold.
H3: Ice tastes or smells off
An old water filter or unclean bin.
H3: Jammed or stuck ice
Cubes melting and refreezing from temperature swings.
H3: Dispenser not working
A faulty switch, door seal or motor.
H2: How Smithtown Homeowners Can Get the Most From Their Ice Maker
- Replace the water filter every six months.
- Keep the freezer at 0°F.
- Empty and clean the bin regularly.
- Do not store items against the ice maker.
H2: Our Repair Process in Smithtown
We check water supply, pressure, filters, the fill tube and the ice maker module itself, then restore production and test several cycles.
1. Call or book online and describe the problem with your ice maker.
2. We confirm your Smithtown address and schedule an appointment window.
3. The technician diagnoses the fault and gives a firm quote.
4. With your approval, we repair and test the appliance.
5. You receive an invoice and warranty details: [INSERT WARRANTY].
H2: Brands We Service in Smithtown
We repair ice maker models from Scotsman, Manitowoc, U-Line, Sub-Zero, Whirlpool, GE, Samsung, LG, Frigidaire, and Hoshizaki and more for customers in Smithtown. If you are unsure about your model, send us the model number and we will confirm we can help.
H2: Repair or Replace? Advice for Smithtown Residents
Replacement ice maker modules are typically affordable, so repair is usually worthwhile for refrigerators and under-counter units alike.
H2: Why Smithtown Customers Choose [BUSINESS NAME]
As a Suffolk County company, we know the area and the homes in it. We provide upfront quotes, treat your home with care and explain the problem clearly. Licensing and insurance: [INSERT DETAILS]. Customers in Smithtown call us because we respect their time and their budget.
H2: Ice Maker Repair FAQs for Smithtown
Q: Do you provide ice maker repair in Smithtown?
A: Yes. We serve Smithtown and nearby areas including Smithtown, Kings Park, St. James, and Nesconset. Contact us to confirm availability for your address.
Q: How soon can you come to Smithtown for ice maker repair?
A: Availability varies by day. [INSERT YOUR SAME-DAY / NEXT-DAY POLICY]. We will offer the earliest window we have.
Q: How much does ice maker repair cost in Smithtown?
A: We diagnose the issue first and give a written price before starting, so there are no surprises. [INSERT DIAGNOSTIC FEE POLICY].
Q: Why has my ice maker stopped making ice?
A: A frozen fill tube, failed inlet valve or faulty module is the usual cause.
Q: How often should I change the water filter?
A: Most manufacturers recommend every six months.
H2: Book Ice Maker Repair in Smithtown Today
Call [PHONE] or request service online. Our team will get your ice maker working again.
H2: Preparing for Your Smithtown Service Visit
A few simple steps help the technician work faster. Clear the area around your ice maker so there is room to work, note when the problem started and any error codes, and keep the model number handy. If the appliance is leaking, switch off its power and water supply where it is safe to do so. For apartment and condo buildings in Smithtown, let us know about parking, access or building rules in advance so your appointment runs smoothly.</t>
  </si>
  <si>
    <t xml:space="preserve">Ice Maker Repair Suffolk County -&gt; /ice-maker-repair/
Appliance Repair Smithtown -&gt; /appliance-repair-smithtown-ny/
Ice Maker Repair in Huntington, NY -&gt; /ice-maker-repair/huntington-ny/
Ice Maker Repair in Islip, NY -&gt; /ice-maker-repair/islip-ny/
Refrigerator Repair in Smithtown -&gt; /refrigerator-repair/smithtown-ny/
Freezer Repair in Smithtown -&gt; /freezer-repair/smithtown-ny/
Contact Us -&gt; /contact/</t>
  </si>
  <si>
    <t xml:space="preserve">Ice Maker Repair Islip</t>
  </si>
  <si>
    <t xml:space="preserve">/ice-maker-repair/islip-ny/</t>
  </si>
  <si>
    <t xml:space="preserve">Ice Maker Repair Islip NY</t>
  </si>
  <si>
    <t xml:space="preserve">Ice Maker Repair Islip, NY | Local Technicians</t>
  </si>
  <si>
    <t xml:space="preserve">Looking for ice maker repair in Islip, NY? Local technicians fix no ice, slow production and leaks. Upfront quotes. Call [PHONE].</t>
  </si>
  <si>
    <t xml:space="preserve">H1: Ice Maker Repair in Islip, NY
Islip stretches across the South Shore, from waterfront communities near the Great South Bay to inland neighborhoods, with a wide mix of single-family homes, condos and rentals. When your ice maker fails, you need a technician who understands local homes and gets the job done right the first time. [BUSINESS NAME] provides ice maker repair in Islip and nearby neighborhoods, covering no ice, slow production and leaks for homeowners, renters and property managers.
Humid South Shore summers make refrigerators and freezers work harder, and dirty condenser coils are a common reason units run constantly. That is why Islip residents often call us for ice maker problems before they turn into costly breakdowns. Call [PHONE] or book online and we will arrange an appointment at your Islip address.
H2: Ice Maker Repair Throughout Islip
Our technicians travel to homes and businesses across Islip, including Islip, East Islip, Islip Terrace, Bay Shore, Brentwood, Central Islip, Sayville, and Great River. Wherever you are located, we bring tools and common parts for most ice maker repairs to the first visit.
H2: Common Ice Maker Problems We Fix in Islip
H3: No ice production
A failed water inlet valve, frozen fill tube or faulty ice maker module.
H3: Small or hollow cubes
Low water pressure, a clogged filter or a partially frozen fill line.
H3: Ice maker leaking
A cracked water line, loose fitting or overfilled mold.
H3: Ice tastes or smells off
An old water filter or unclean bin.
H3: Jammed or stuck ice
Cubes melting and refreezing from temperature swings.
H3: Dispenser not working
A faulty switch, door seal or motor.
H2: How Islip Homeowners Can Get the Most From Their Ice Maker
- Replace the water filter every six months.
- Keep the freezer at 0°F.
- Empty and clean the bin regularly.
- Do not store items against the ice maker.
H2: Our Repair Process in Islip
We check water supply, pressure, filters, the fill tube and the ice maker module itself, then restore production and test several cycles.
1. Call or book online and describe the problem with your ice maker.
2. We confirm your Islip address and schedule an appointment window.
3. The technician diagnoses the fault and gives a firm quote.
4. With your approval, we repair and test the appliance.
5. You receive an invoice and warranty details: [INSERT WARRANTY].
H2: Brands We Service in Islip
We repair ice maker models from Scotsman, Manitowoc, U-Line, Sub-Zero, Whirlpool, GE, Samsung, LG, Frigidaire, and Hoshizaki and more for customers in Islip. If you are unsure about your model, send us the model number and we will confirm we can help.
H2: Repair or Replace? Advice for Islip Residents
Replacement ice maker modules are typically affordable, so repair is usually worthwhile for refrigerators and under-counter units alike.
H2: Why Islip Customers Choose [BUSINESS NAME]
As a Suffolk County company, we know the area and the homes in it. We provide upfront quotes, treat your home with care and explain the problem clearly. Licensing and insurance: [INSERT DETAILS]. Customers in Islip call us because we respect their time and their budget.
H2: Ice Maker Repair FAQs for Islip
Q: Do you provide ice maker repair in Islip?
A: Yes. We serve Islip and nearby areas including Islip, East Islip, Islip Terrace, and Bay Shore. Contact us to confirm availability for your address.
Q: How soon can you come to Islip for ice maker repair?
A: Availability varies by day. [INSERT YOUR SAME-DAY / NEXT-DAY POLICY]. We will offer the earliest window we have.
Q: How much does ice maker repair cost in Islip?
A: We diagnose the issue first and give a written price before starting, so there are no surprises. [INSERT DIAGNOSTIC FEE POLICY].
Q: Why has my ice maker stopped making ice?
A: A frozen fill tube, failed inlet valve or faulty module is the usual cause.
Q: How often should I change the water filter?
A: Most manufacturers recommend every six months.
H2: Book Ice Maker Repair in Islip Today
Call [PHONE] or request service online. Our team will get your ice maker working again.
H2: Preparing for Your Islip Service Visit
A few simple steps help the technician work faster. Clear the area around your ice maker so there is room to work, note when the problem started and any error codes, and keep the model number handy. If the appliance is leaking, switch off its power and water supply where it is safe to do so. For apartment and condo buildings in Islip, let us know about parking, access or building rules in advance so your appointment runs smoothly.</t>
  </si>
  <si>
    <t xml:space="preserve">Ice Maker Repair Suffolk County -&gt; /ice-maker-repair/
Appliance Repair Islip -&gt; /appliance-repair-islip-ny/
Ice Maker Repair in Babylon, NY -&gt; /ice-maker-repair/babylon-ny/
Ice Maker Repair in Patchogue, NY -&gt; /ice-maker-repair/patchogue-ny/
Refrigerator Repair in Islip -&gt; /refrigerator-repair/islip-ny/
Freezer Repair in Islip -&gt; /freezer-repair/islip-ny/
Contact Us -&gt; /contact/</t>
  </si>
  <si>
    <t xml:space="preserve">Ice Maker Repair Babylon</t>
  </si>
  <si>
    <t xml:space="preserve">/ice-maker-repair/babylon-ny/</t>
  </si>
  <si>
    <t xml:space="preserve">Ice Maker Repair Babylon NY</t>
  </si>
  <si>
    <t xml:space="preserve">Ice Maker Repair Babylon, NY | Local Technicians</t>
  </si>
  <si>
    <t xml:space="preserve">Looking for ice maker repair in Babylon, NY? Local technicians fix no ice, slow production and leaks. Upfront quotes. Call [PHONE].</t>
  </si>
  <si>
    <t xml:space="preserve">H1: Ice Maker Repair in Babylon, NY
The Town of Babylon covers busy South Shore villages and hamlets with a large share of well-kept single-family homes, plus apartments and rental units. When your ice maker fails, you need a technician who understands local homes and gets the job done right the first time. [BUSINESS NAME] provides ice maker repair in Babylon and nearby neighborhoods, covering no ice, slow production and leaks for homeowners, renters and property managers.
In older and smaller homes, refrigerators are often tucked into tight spaces with little ventilation, causing overheating and extra compressor strain. That is why Babylon residents often call us for ice maker problems before they turn into costly breakdowns. Call [PHONE] or book online and we will arrange an appointment at your Babylon address.
H2: Ice Maker Repair Throughout Babylon
Our technicians travel to homes and businesses across Babylon, including Babylon Village, Lindenhurst, Copiague, West Babylon, North Babylon, Deer Park, and Wyandanch. Wherever you are located, we bring tools and common parts for most ice maker repairs to the first visit.
H2: Common Ice Maker Problems We Fix in Babylon
H3: No ice production
A failed water inlet valve, frozen fill tube or faulty ice maker module.
H3: Small or hollow cubes
Low water pressure, a clogged filter or a partially frozen fill line.
H3: Ice maker leaking
A cracked water line, loose fitting or overfilled mold.
H3: Ice tastes or smells off
An old water filter or unclean bin.
H3: Jammed or stuck ice
Cubes melting and refreezing from temperature swings.
H3: Dispenser not working
A faulty switch, door seal or motor.
H2: How Babylon Homeowners Can Get the Most From Their Ice Maker
- Replace the water filter every six months.
- Keep the freezer at 0°F.
- Empty and clean the bin regularly.
- Do not store items against the ice maker.
H2: Our Repair Process in Babylon
We check water supply, pressure, filters, the fill tube and the ice maker module itself, then restore production and test several cycles.
1. Call or book online and describe the problem with your ice maker.
2. We confirm your Babylon address and schedule an appointment window.
3. The technician diagnoses the fault and gives a firm quote.
4. With your approval, we repair and test the appliance.
5. You receive an invoice and warranty details: [INSERT WARRANTY].
H2: Brands We Service in Babylon
We repair ice maker models from Scotsman, Manitowoc, U-Line, Sub-Zero, Whirlpool, GE, Samsung, LG, Frigidaire, and Hoshizaki and more for customers in Babylon. If you are unsure about your model, send us the model number and we will confirm we can help.
H2: Repair or Replace? Advice for Babylon Residents
Replacement ice maker modules are typically affordable, so repair is usually worthwhile for refrigerators and under-counter units alike.
H2: Why Babylon Customers Choose [BUSINESS NAME]
As a Suffolk County company, we know the area and the homes in it. We provide upfront quotes, treat your home with care and explain the problem clearly. Licensing and insurance: [INSERT DETAILS]. Customers in Babylon call us because we respect their time and their budget.
H2: Ice Maker Repair FAQs for Babylon
Q: Do you provide ice maker repair in Babylon?
A: Yes. We serve Babylon and nearby areas including Babylon Village, Lindenhurst, Copiague, and West Babylon. Contact us to confirm availability for your address.
Q: How soon can you come to Babylon for ice maker repair?
A: Availability varies by day. [INSERT YOUR SAME-DAY / NEXT-DAY POLICY]. We will offer the earliest window we have.
Q: How much does ice maker repair cost in Babylon?
A: We diagnose the issue first and give a written price before starting, so there are no surprises. [INSERT DIAGNOSTIC FEE POLICY].
Q: Why has my ice maker stopped making ice?
A: A frozen fill tube, failed inlet valve or faulty module is the usual cause.
Q: How often should I change the water filter?
A: Most manufacturers recommend every six months.
H2: Book Ice Maker Repair in Babylon Today
Call [PHONE] or request service online. Our team will get your ice maker working again.
H2: Preparing for Your Babylon Service Visit
A few simple steps help the technician work faster. Clear the area around your ice maker so there is room to work, note when the problem started and any error codes, and keep the model number handy. If the appliance is leaking, switch off its power and water supply where it is safe to do so. For apartment and condo buildings in Babylon, let us know about parking, access or building rules in advance so your appointment runs smoothly.</t>
  </si>
  <si>
    <t xml:space="preserve">Ice Maker Repair Suffolk County -&gt; /ice-maker-repair/
Appliance Repair Babylon -&gt; /appliance-repair-babylon-ny/
Ice Maker Repair in Islip, NY -&gt; /ice-maker-repair/islip-ny/
Refrigerator Repair in Babylon -&gt; /refrigerator-repair/babylon-ny/
Freezer Repair in Babylon -&gt; /freezer-repair/babylon-ny/
Contact Us -&gt; /contact/</t>
  </si>
  <si>
    <t xml:space="preserve">Ice Maker Repair Patchogue</t>
  </si>
  <si>
    <t xml:space="preserve">/ice-maker-repair/patchogue-ny/</t>
  </si>
  <si>
    <t xml:space="preserve">Ice Maker Repair Patchogue NY</t>
  </si>
  <si>
    <t xml:space="preserve">Ice Maker Repair Patchogue, NY | Local Technicians</t>
  </si>
  <si>
    <t xml:space="preserve">Looking for ice maker repair in Patchogue, NY? Local technicians fix no ice, slow production and leaks. Upfront quotes. Call [PHONE].</t>
  </si>
  <si>
    <t xml:space="preserve">H1: Ice Maker Repair in Patchogue, NY
Patchogue is a lively waterfront village with a walkable downtown, surrounded by neighborhoods of single-family homes, condos and apartments. When your ice maker fails, you need a technician who understands local homes and gets the job done right the first time. [BUSINESS NAME] provides ice maker repair in Patchogue and nearby neighborhoods, covering no ice, slow production and leaks for homeowners, renters and property managers.
Apartments and condos near downtown often use compact and counter-depth refrigerators, where ventilation and gasket wear are frequent issues. That is why Patchogue residents often call us for ice maker problems before they turn into costly breakdowns. Call [PHONE] or book online and we will arrange an appointment at your Patchogue address.
H2: Ice Maker Repair Throughout Patchogue
Our technicians travel to homes and businesses across Patchogue, including Patchogue Village, East Patchogue, North Patchogue, Blue Point, Bellport, Medford, and Holbrook. Wherever you are located, we bring tools and common parts for most ice maker repairs to the first visit.
H2: Common Ice Maker Problems We Fix in Patchogue
H3: No ice production
A failed water inlet valve, frozen fill tube or faulty ice maker module.
H3: Small or hollow cubes
Low water pressure, a clogged filter or a partially frozen fill line.
H3: Ice maker leaking
A cracked water line, loose fitting or overfilled mold.
H3: Ice tastes or smells off
An old water filter or unclean bin.
H3: Jammed or stuck ice
Cubes melting and refreezing from temperature swings.
H3: Dispenser not working
A faulty switch, door seal or motor.
H2: How Patchogue Homeowners Can Get the Most From Their Ice Maker
- Replace the water filter every six months.
- Keep the freezer at 0°F.
- Empty and clean the bin regularly.
- Do not store items against the ice maker.
H2: Our Repair Process in Patchogue
We check water supply, pressure, filters, the fill tube and the ice maker module itself, then restore production and test several cycles.
1. Call or book online and describe the problem with your ice maker.
2. We confirm your Patchogue address and schedule an appointment window.
3. The technician diagnoses the fault and gives a firm quote.
4. With your approval, we repair and test the appliance.
5. You receive an invoice and warranty details: [INSERT WARRANTY].
H2: Brands We Service in Patchogue
We repair ice maker models from Scotsman, Manitowoc, U-Line, Sub-Zero, Whirlpool, GE, Samsung, LG, Frigidaire, and Hoshizaki and more for customers in Patchogue. If you are unsure about your model, send us the model number and we will confirm we can help.
H2: Repair or Replace? Advice for Patchogue Residents
Replacement ice maker modules are typically affordable, so repair is usually worthwhile for refrigerators and under-counter units alike.
H2: Why Patchogue Customers Choose [BUSINESS NAME]
As a Suffolk County company, we know the area and the homes in it. We provide upfront quotes, treat your home with care and explain the problem clearly. Licensing and insurance: [INSERT DETAILS]. Customers in Patchogue call us because we respect their time and their budget.
H2: Ice Maker Repair FAQs for Patchogue
Q: Do you provide ice maker repair in Patchogue?
A: Yes. We serve Patchogue and nearby areas including Patchogue Village, East Patchogue, North Patchogue, and Blue Point. Contact us to confirm availability for your address.
Q: How soon can you come to Patchogue for ice maker repair?
A: Availability varies by day. [INSERT YOUR SAME-DAY / NEXT-DAY POLICY]. We will offer the earliest window we have.
Q: How much does ice maker repair cost in Patchogue?
A: We diagnose the issue first and give a written price before starting, so there are no surprises. [INSERT DIAGNOSTIC FEE POLICY].
Q: Why has my ice maker stopped making ice?
A: A frozen fill tube, failed inlet valve or faulty module is the usual cause.
Q: How often should I change the water filter?
A: Most manufacturers recommend every six months.
H2: Book Ice Maker Repair in Patchogue Today
Call [PHONE] or request service online. Our team will get your ice maker working again.
H2: Preparing for Your Patchogue Service Visit
A few simple steps help the technician work faster. Clear the area around your ice maker so there is room to work, note when the problem started and any error codes, and keep the model number handy. If the appliance is leaking, switch off its power and water supply where it is safe to do so. For apartment and condo buildings in Patchogue, let us know about parking, access or building rules in advance so your appointment runs smoothly.</t>
  </si>
  <si>
    <t xml:space="preserve">Ice Maker Repair Suffolk County -&gt; /ice-maker-repair/
Appliance Repair Patchogue -&gt; /appliance-repair-patchogue-ny/
Ice Maker Repair in Islip, NY -&gt; /ice-maker-repair/islip-ny/
Refrigerator Repair in Patchogue -&gt; /refrigerator-repair/patchogue-ny/
Freezer Repair in Patchogue -&gt; /freezer-repair/patchogue-ny/
Contact Us -&gt; /contact/</t>
  </si>
  <si>
    <t xml:space="preserve">Wine Cooler Repair Huntington</t>
  </si>
  <si>
    <t xml:space="preserve">/wine-cooler-repair/huntington-ny/</t>
  </si>
  <si>
    <t xml:space="preserve">Wine Cooler Repair Huntington NY</t>
  </si>
  <si>
    <t xml:space="preserve">Wine Cooler Repair Huntington, NY | Local Technicians</t>
  </si>
  <si>
    <t xml:space="preserve">Looking for wine cooler repair in Huntington, NY? Local technicians fix temperature, noise and compressor issues. Upfront quotes. Call [PHONE].</t>
  </si>
  <si>
    <t xml:space="preserve">H1: Wine Cooler Repair in Huntington, NY
Huntington blends a walkable historic village with established North Shore neighborhoods, many of them with older kitchens, finished basements and a mix of classic and high-end appliances. When your wine cooler fails, you need a technician who understands local homes and gets the job done right the first time. [BUSINESS NAME] provides wine cooler repair in Huntington and nearby neighborhoods, covering temperature, noise and compressor issues for homeowners, renters and property managers.
Larger North Shore homes often run a main refrigerator plus a basement freezer or beverage fridge, so units get heavy use and can age unnoticed until they fail. That is why Huntington residents often call us for wine cooler problems before they turn into costly breakdowns. Call [PHONE] or book online and we will arrange an appointment at your Huntington address.
H2: Wine Cooler Repair Throughout Huntington
Our technicians travel to homes and businesses across Huntington, including Huntington Village, Huntington Station, Greenlawn, Halesite, Cold Spring Harbor, Melville, South Huntington, and Dix Hills. Wherever you are located, we bring tools and common parts for most wine cooler repairs to the first visit.
H2: Common Wine Cooler Problems We Fix in Huntington
H3: Not cooling to set temperature
A failed compressor, fan or thermostat, or a thermoelectric module on some models.
H3: Temperature swinging
A bad sensor or control board.
H3: Excess vibration or noise
Loose fans or compressor mounts.
H3: Condensation inside
A failing door seal or humidity imbalance.
H3: Display errors
A control board or sensor fault.
H3: Door not sealing
A worn gasket or misaligned hinge.
H2: How Huntington Homeowners Can Get the Most From Their Wine Cooler
- Keep the cooler away from direct heat and sunlight.
- Maintain 12 to 24 inches clearance if front-vented guidance isn't followed.
- Clean condenser coils regularly.
- Check the door seal for gaps.
H2: Our Repair Process in Huntington
We confirm temperature accuracy in each zone, test fans, sensors and the cooling system, and advise on safe handling of your bottles during repair.
1. Call or book online and describe the problem with your wine cooler.
2. We confirm your Huntington address and schedule an appointment window.
3. The technician diagnoses the fault and gives a firm quote.
4. With your approval, we repair and test the appliance.
5. You receive an invoice and warranty details: [INSERT WARRANTY].
H2: Brands We Service in Huntington
We repair wine cooler models from EdgeStar, U-Line, Sub-Zero, Perlick, Vinotemp, Whynter, Danby, Avanti, Wine Enthusiast, and Kalamera and more for customers in Huntington. If you are unsure about your model, send us the model number and we will confirm we can help.
H2: Repair or Replace? Advice for Huntington Residents
Most wine coolers are worth repairing when the fault is a fan, sensor or seal; thermoelectric units with failed modules may be less cost-effective.
H2: Why Huntington Customers Choose [BUSINESS NAME]
As a Suffolk County company, we know the area and the homes in it. We provide upfront quotes, treat your home with care and explain the problem clearly. Licensing and insurance: [INSERT DETAILS]. Customers in Huntington call us because we respect their time and their budget.
H2: Wine Cooler Repair FAQs for Huntington
Q: Do you provide wine cooler repair in Huntington?
A: Yes. We serve Huntington and nearby areas including Huntington Village, Huntington Station, Greenlawn, and Halesite. Contact us to confirm availability for your address.
Q: How soon can you come to Huntington for wine cooler repair?
A: Availability varies by day. [INSERT YOUR SAME-DAY / NEXT-DAY POLICY]. We will offer the earliest window we have.
Q: How much does wine cooler repair cost in Huntington?
A: We diagnose the issue first and give a written price before starting, so there are no surprises. [INSERT DIAGNOSTIC FEE POLICY].
Q: What temperature should a wine cooler hold?
A: Many collectors keep reds near 55 to 65°F and whites slightly cooler, but follow the manufacturer's guidance.
Q: Why is my wine cooler not cooling?
A: A failed fan, thermostat or compressor is the usual cause.
H2: Book Wine Cooler Repair in Huntington Today
Call [PHONE] or request service online. Our team will get your wine cooler working again.
H2: Preparing for Your Huntington Service Visit
A few simple steps help the technician work faster. Clear the area around your wine cooler so there is room to work, note when the problem started and any error codes, and keep the model number handy. If the appliance is leaking, switch off its power and water supply where it is safe to do so. For apartment and condo buildings in Huntington, let us know about parking, access or building rules in advance so your appointment runs smoothly.</t>
  </si>
  <si>
    <t xml:space="preserve">Wine Cooler Repair Suffolk County -&gt; /wine-cooler-repair/
Appliance Repair Huntington -&gt; /appliance-repair-huntington-ny/
Wine Cooler Repair in Smithtown, NY -&gt; /wine-cooler-repair/smithtown-ny/
Refrigerator Repair in Huntington -&gt; /refrigerator-repair/huntington-ny/
Ice Maker Repair in Huntington -&gt; /ice-maker-repair/huntington-ny/
Contact Us -&gt; /contact/</t>
  </si>
  <si>
    <t xml:space="preserve">Wine Cooler Repair Smithtown</t>
  </si>
  <si>
    <t xml:space="preserve">/wine-cooler-repair/smithtown-ny/</t>
  </si>
  <si>
    <t xml:space="preserve">Wine Cooler Repair Smithtown NY</t>
  </si>
  <si>
    <t xml:space="preserve">Wine Cooler Repair Smithtown, NY | Local Technicians</t>
  </si>
  <si>
    <t xml:space="preserve">Looking for wine cooler repair in Smithtown, NY? Local technicians fix temperature, noise and compressor issues. Upfront quotes. Call [PHONE].</t>
  </si>
  <si>
    <t xml:space="preserve">H1: Wine Cooler Repair in Smithtown, NY
Smithtown is largely suburban, with family-sized homes, busy kitchens and households that run several appliances every single day. When your wine cooler fails, you need a technician who understands local homes and gets the job done right the first time. [BUSINESS NAME] provides wine cooler repair in Smithtown and nearby neighborhoods, covering temperature, noise and compressor issues for homeowners, renters and property managers.
Larger family households mean refrigerators and garage or basement freezers work hard year-round, especially around holidays and summer gatherings. That is why Smithtown residents often call us for wine cooler problems before they turn into costly breakdowns. Call [PHONE] or book online and we will arrange an appointment at your Smithtown address.
H2: Wine Cooler Repair Throughout Smithtown
Our technicians travel to homes and businesses across Smithtown, including Smithtown, Kings Park, St. James, Nesconset, Hauppauge, Fort Salonga, and Head of the Harbor. Wherever you are located, we bring tools and common parts for most wine cooler repairs to the first visit.
H2: Common Wine Cooler Problems We Fix in Smithtown
H3: Not cooling to set temperature
A failed compressor, fan or thermostat, or a thermoelectric module on some models.
H3: Temperature swinging
A bad sensor or control board.
H3: Excess vibration or noise
Loose fans or compressor mounts.
H3: Condensation inside
A failing door seal or humidity imbalance.
H3: Display errors
A control board or sensor fault.
H3: Door not sealing
A worn gasket or misaligned hinge.
H2: How Smithtown Homeowners Can Get the Most From Their Wine Cooler
- Keep the cooler away from direct heat and sunlight.
- Maintain 12 to 24 inches clearance if front-vented guidance isn't followed.
- Clean condenser coils regularly.
- Check the door seal for gaps.
H2: Our Repair Process in Smithtown
We confirm temperature accuracy in each zone, test fans, sensors and the cooling system, and advise on safe handling of your bottles during repair.
1. Call or book online and describe the problem with your wine cooler.
2. We confirm your Smithtown address and schedule an appointment window.
3. The technician diagnoses the fault and gives a firm quote.
4. With your approval, we repair and test the appliance.
5. You receive an invoice and warranty details: [INSERT WARRANTY].
H2: Brands We Service in Smithtown
We repair wine cooler models from EdgeStar, U-Line, Sub-Zero, Perlick, Vinotemp, Whynter, Danby, Avanti, Wine Enthusiast, and Kalamera and more for customers in Smithtown. If you are unsure about your model, send us the model number and we will confirm we can help.
H2: Repair or Replace? Advice for Smithtown Residents
Most wine coolers are worth repairing when the fault is a fan, sensor or seal; thermoelectric units with failed modules may be less cost-effective.
H2: Why Smithtown Customers Choose [BUSINESS NAME]
As a Suffolk County company, we know the area and the homes in it. We provide upfront quotes, treat your home with care and explain the problem clearly. Licensing and insurance: [INSERT DETAILS]. Customers in Smithtown call us because we respect their time and their budget.
H2: Wine Cooler Repair FAQs for Smithtown
Q: Do you provide wine cooler repair in Smithtown?
A: Yes. We serve Smithtown and nearby areas including Smithtown, Kings Park, St. James, and Nesconset. Contact us to confirm availability for your address.
Q: How soon can you come to Smithtown for wine cooler repair?
A: Availability varies by day. [INSERT YOUR SAME-DAY / NEXT-DAY POLICY]. We will offer the earliest window we have.
Q: How much does wine cooler repair cost in Smithtown?
A: We diagnose the issue first and give a written price before starting, so there are no surprises. [INSERT DIAGNOSTIC FEE POLICY].
Q: What temperature should a wine cooler hold?
A: Many collectors keep reds near 55 to 65°F and whites slightly cooler, but follow the manufacturer's guidance.
Q: Why is my wine cooler not cooling?
A: A failed fan, thermostat or compressor is the usual cause.
H2: Book Wine Cooler Repair in Smithtown Today
Call [PHONE] or request service online. Our team will get your wine cooler working again.
H2: Preparing for Your Smithtown Service Visit
A few simple steps help the technician work faster. Clear the area around your wine cooler so there is room to work, note when the problem started and any error codes, and keep the model number handy. If the appliance is leaking, switch off its power and water supply where it is safe to do so. For apartment and condo buildings in Smithtown, let us know about parking, access or building rules in advance so your appointment runs smoothly.</t>
  </si>
  <si>
    <t xml:space="preserve">Wine Cooler Repair Suffolk County -&gt; /wine-cooler-repair/
Appliance Repair Smithtown -&gt; /appliance-repair-smithtown-ny/
Wine Cooler Repair in Huntington, NY -&gt; /wine-cooler-repair/huntington-ny/
Wine Cooler Repair in Islip, NY -&gt; /wine-cooler-repair/islip-ny/
Refrigerator Repair in Smithtown -&gt; /refrigerator-repair/smithtown-ny/
Ice Maker Repair in Smithtown -&gt; /ice-maker-repair/smithtown-ny/
Contact Us -&gt; /contact/</t>
  </si>
  <si>
    <t xml:space="preserve">Wine Cooler Repair Islip</t>
  </si>
  <si>
    <t xml:space="preserve">/wine-cooler-repair/islip-ny/</t>
  </si>
  <si>
    <t xml:space="preserve">Wine Cooler Repair Islip NY</t>
  </si>
  <si>
    <t xml:space="preserve">Wine Cooler Repair Islip, NY | Local Technicians</t>
  </si>
  <si>
    <t xml:space="preserve">Looking for wine cooler repair in Islip, NY? Local technicians fix temperature, noise and compressor issues. Upfront quotes. Call [PHONE].</t>
  </si>
  <si>
    <t xml:space="preserve">H1: Wine Cooler Repair in Islip, NY
Islip stretches across the South Shore, from waterfront communities near the Great South Bay to inland neighborhoods, with a wide mix of single-family homes, condos and rentals. When your wine cooler fails, you need a technician who understands local homes and gets the job done right the first time. [BUSINESS NAME] provides wine cooler repair in Islip and nearby neighborhoods, covering temperature, noise and compressor issues for homeowners, renters and property managers.
Humid South Shore summers make refrigerators and freezers work harder, and dirty condenser coils are a common reason units run constantly. That is why Islip residents often call us for wine cooler problems before they turn into costly breakdowns. Call [PHONE] or book online and we will arrange an appointment at your Islip address.
H2: Wine Cooler Repair Throughout Islip
Our technicians travel to homes and businesses across Islip, including Islip, East Islip, Islip Terrace, Bay Shore, Brentwood, Central Islip, Sayville, and Great River. Wherever you are located, we bring tools and common parts for most wine cooler repairs to the first visit.
H2: Common Wine Cooler Problems We Fix in Islip
H3: Not cooling to set temperature
A failed compressor, fan or thermostat, or a thermoelectric module on some models.
H3: Temperature swinging
A bad sensor or control board.
H3: Excess vibration or noise
Loose fans or compressor mounts.
H3: Condensation inside
A failing door seal or humidity imbalance.
H3: Display errors
A control board or sensor fault.
H3: Door not sealing
A worn gasket or misaligned hinge.
H2: How Islip Homeowners Can Get the Most From Their Wine Cooler
- Keep the cooler away from direct heat and sunlight.
- Maintain 12 to 24 inches clearance if front-vented guidance isn't followed.
- Clean condenser coils regularly.
- Check the door seal for gaps.
H2: Our Repair Process in Islip
We confirm temperature accuracy in each zone, test fans, sensors and the cooling system, and advise on safe handling of your bottles during repair.
1. Call or book online and describe the problem with your wine cooler.
2. We confirm your Islip address and schedule an appointment window.
3. The technician diagnoses the fault and gives a firm quote.
4. With your approval, we repair and test the appliance.
5. You receive an invoice and warranty details: [INSERT WARRANTY].
H2: Brands We Service in Islip
We repair wine cooler models from EdgeStar, U-Line, Sub-Zero, Perlick, Vinotemp, Whynter, Danby, Avanti, Wine Enthusiast, and Kalamera and more for customers in Islip. If you are unsure about your model, send us the model number and we will confirm we can help.
H2: Repair or Replace? Advice for Islip Residents
Most wine coolers are worth repairing when the fault is a fan, sensor or seal; thermoelectric units with failed modules may be less cost-effective.
H2: Why Islip Customers Choose [BUSINESS NAME]
As a Suffolk County company, we know the area and the homes in it. We provide upfront quotes, treat your home with care and explain the problem clearly. Licensing and insurance: [INSERT DETAILS]. Customers in Islip call us because we respect their time and their budget.
H2: Wine Cooler Repair FAQs for Islip
Q: Do you provide wine cooler repair in Islip?
A: Yes. We serve Islip and nearby areas including Islip, East Islip, Islip Terrace, and Bay Shore. Contact us to confirm availability for your address.
Q: How soon can you come to Islip for wine cooler repair?
A: Availability varies by day. [INSERT YOUR SAME-DAY / NEXT-DAY POLICY]. We will offer the earliest window we have.
Q: How much does wine cooler repair cost in Islip?
A: We diagnose the issue first and give a written price before starting, so there are no surprises. [INSERT DIAGNOSTIC FEE POLICY].
Q: What temperature should a wine cooler hold?
A: Many collectors keep reds near 55 to 65°F and whites slightly cooler, but follow the manufacturer's guidance.
Q: Why is my wine cooler not cooling?
A: A failed fan, thermostat or compressor is the usual cause.
H2: Book Wine Cooler Repair in Islip Today
Call [PHONE] or request service online. Our team will get your wine cooler working again.
H2: Preparing for Your Islip Service Visit
A few simple steps help the technician work faster. Clear the area around your wine cooler so there is room to work, note when the problem started and any error codes, and keep the model number handy. If the appliance is leaking, switch off its power and water supply where it is safe to do so. For apartment and condo buildings in Islip, let us know about parking, access or building rules in advance so your appointment runs smoothly.</t>
  </si>
  <si>
    <t xml:space="preserve">Wine Cooler Repair Suffolk County -&gt; /wine-cooler-repair/
Appliance Repair Islip -&gt; /appliance-repair-islip-ny/
Wine Cooler Repair in Babylon, NY -&gt; /wine-cooler-repair/babylon-ny/
Wine Cooler Repair in Patchogue, NY -&gt; /wine-cooler-repair/patchogue-ny/
Refrigerator Repair in Islip -&gt; /refrigerator-repair/islip-ny/
Ice Maker Repair in Islip -&gt; /ice-maker-repair/islip-ny/
Contact Us -&gt; /contact/</t>
  </si>
  <si>
    <t xml:space="preserve">Wine Cooler Repair Babylon</t>
  </si>
  <si>
    <t xml:space="preserve">/wine-cooler-repair/babylon-ny/</t>
  </si>
  <si>
    <t xml:space="preserve">Wine Cooler Repair Babylon NY</t>
  </si>
  <si>
    <t xml:space="preserve">Wine Cooler Repair Babylon, NY | Local Technicians</t>
  </si>
  <si>
    <t xml:space="preserve">Looking for wine cooler repair in Babylon, NY? Local technicians fix temperature, noise and compressor issues. Upfront quotes. Call [PHONE].</t>
  </si>
  <si>
    <t xml:space="preserve">H1: Wine Cooler Repair in Babylon, NY
The Town of Babylon covers busy South Shore villages and hamlets with a large share of well-kept single-family homes, plus apartments and rental units. When your wine cooler fails, you need a technician who understands local homes and gets the job done right the first time. [BUSINESS NAME] provides wine cooler repair in Babylon and nearby neighborhoods, covering temperature, noise and compressor issues for homeowners, renters and property managers.
In older and smaller homes, refrigerators are often tucked into tight spaces with little ventilation, causing overheating and extra compressor strain. That is why Babylon residents often call us for wine cooler problems before they turn into costly breakdowns. Call [PHONE] or book online and we will arrange an appointment at your Babylon address.
H2: Wine Cooler Repair Throughout Babylon
Our technicians travel to homes and businesses across Babylon, including Babylon Village, Lindenhurst, Copiague, West Babylon, North Babylon, Deer Park, and Wyandanch. Wherever you are located, we bring tools and common parts for most wine cooler repairs to the first visit.
H2: Common Wine Cooler Problems We Fix in Babylon
H3: Not cooling to set temperature
A failed compressor, fan or thermostat, or a thermoelectric module on some models.
H3: Temperature swinging
A bad sensor or control board.
H3: Excess vibration or noise
Loose fans or compressor mounts.
H3: Condensation inside
A failing door seal or humidity imbalance.
H3: Display errors
A control board or sensor fault.
H3: Door not sealing
A worn gasket or misaligned hinge.
H2: How Babylon Homeowners Can Get the Most From Their Wine Cooler
- Keep the cooler away from direct heat and sunlight.
- Maintain 12 to 24 inches clearance if front-vented guidance isn't followed.
- Clean condenser coils regularly.
- Check the door seal for gaps.
H2: Our Repair Process in Babylon
We confirm temperature accuracy in each zone, test fans, sensors and the cooling system, and advise on safe handling of your bottles during repair.
1. Call or book online and describe the problem with your wine cooler.
2. We confirm your Babylon address and schedule an appointment window.
3. The technician diagnoses the fault and gives a firm quote.
4. With your approval, we repair and test the appliance.
5. You receive an invoice and warranty details: [INSERT WARRANTY].
H2: Brands We Service in Babylon
We repair wine cooler models from EdgeStar, U-Line, Sub-Zero, Perlick, Vinotemp, Whynter, Danby, Avanti, Wine Enthusiast, and Kalamera and more for customers in Babylon. If you are unsure about your model, send us the model number and we will confirm we can help.
H2: Repair or Replace? Advice for Babylon Residents
Most wine coolers are worth repairing when the fault is a fan, sensor or seal; thermoelectric units with failed modules may be less cost-effective.
H2: Why Babylon Customers Choose [BUSINESS NAME]
As a Suffolk County company, we know the area and the homes in it. We provide upfront quotes, treat your home with care and explain the problem clearly. Licensing and insurance: [INSERT DETAILS]. Customers in Babylon call us because we respect their time and their budget.
H2: Wine Cooler Repair FAQs for Babylon
Q: Do you provide wine cooler repair in Babylon?
A: Yes. We serve Babylon and nearby areas including Babylon Village, Lindenhurst, Copiague, and West Babylon. Contact us to confirm availability for your address.
Q: How soon can you come to Babylon for wine cooler repair?
A: Availability varies by day. [INSERT YOUR SAME-DAY / NEXT-DAY POLICY]. We will offer the earliest window we have.
Q: How much does wine cooler repair cost in Babylon?
A: We diagnose the issue first and give a written price before starting, so there are no surprises. [INSERT DIAGNOSTIC FEE POLICY].
Q: What temperature should a wine cooler hold?
A: Many collectors keep reds near 55 to 65°F and whites slightly cooler, but follow the manufacturer's guidance.
Q: Why is my wine cooler not cooling?
A: A failed fan, thermostat or compressor is the usual cause.
H2: Book Wine Cooler Repair in Babylon Today
Call [PHONE] or request service online. Our team will get your wine cooler working again.
H2: Preparing for Your Babylon Service Visit
A few simple steps help the technician work faster. Clear the area around your wine cooler so there is room to work, note when the problem started and any error codes, and keep the model number handy. If the appliance is leaking, switch off its power and water supply where it is safe to do so. For apartment and condo buildings in Babylon, let us know about parking, access or building rules in advance so your appointment runs smoothly.</t>
  </si>
  <si>
    <t xml:space="preserve">Wine Cooler Repair Suffolk County -&gt; /wine-cooler-repair/
Appliance Repair Babylon -&gt; /appliance-repair-babylon-ny/
Wine Cooler Repair in Islip, NY -&gt; /wine-cooler-repair/islip-ny/
Refrigerator Repair in Babylon -&gt; /refrigerator-repair/babylon-ny/
Ice Maker Repair in Babylon -&gt; /ice-maker-repair/babylon-ny/
Contact Us -&gt; /contact/</t>
  </si>
  <si>
    <t xml:space="preserve">Wine Cooler Repair Patchogue</t>
  </si>
  <si>
    <t xml:space="preserve">/wine-cooler-repair/patchogue-ny/</t>
  </si>
  <si>
    <t xml:space="preserve">Wine Cooler Repair Patchogue NY</t>
  </si>
  <si>
    <t xml:space="preserve">Wine Cooler Repair Patchogue, NY | Local Technicians</t>
  </si>
  <si>
    <t xml:space="preserve">Looking for wine cooler repair in Patchogue, NY? Local technicians fix temperature, noise and compressor issues. Upfront quotes. Call [PHONE].</t>
  </si>
  <si>
    <t xml:space="preserve">H1: Wine Cooler Repair in Patchogue, NY
Patchogue is a lively waterfront village with a walkable downtown, surrounded by neighborhoods of single-family homes, condos and apartments. When your wine cooler fails, you need a technician who understands local homes and gets the job done right the first time. [BUSINESS NAME] provides wine cooler repair in Patchogue and nearby neighborhoods, covering temperature, noise and compressor issues for homeowners, renters and property managers.
Apartments and condos near downtown often use compact and counter-depth refrigerators, where ventilation and gasket wear are frequent issues. That is why Patchogue residents often call us for wine cooler problems before they turn into costly breakdowns. Call [PHONE] or book online and we will arrange an appointment at your Patchogue address.
H2: Wine Cooler Repair Throughout Patchogue
Our technicians travel to homes and businesses across Patchogue, including Patchogue Village, East Patchogue, North Patchogue, Blue Point, Bellport, Medford, and Holbrook. Wherever you are located, we bring tools and common parts for most wine cooler repairs to the first visit.
H2: Common Wine Cooler Problems We Fix in Patchogue
H3: Not cooling to set temperature
A failed compressor, fan or thermostat, or a thermoelectric module on some models.
H3: Temperature swinging
A bad sensor or control board.
H3: Excess vibration or noise
Loose fans or compressor mounts.
H3: Condensation inside
A failing door seal or humidity imbalance.
H3: Display errors
A control board or sensor fault.
H3: Door not sealing
A worn gasket or misaligned hinge.
H2: How Patchogue Homeowners Can Get the Most From Their Wine Cooler
- Keep the cooler away from direct heat and sunlight.
- Maintain 12 to 24 inches clearance if front-vented guidance isn't followed.
- Clean condenser coils regularly.
- Check the door seal for gaps.
H2: Our Repair Process in Patchogue
We confirm temperature accuracy in each zone, test fans, sensors and the cooling system, and advise on safe handling of your bottles during repair.
1. Call or book online and describe the problem with your wine cooler.
2. We confirm your Patchogue address and schedule an appointment window.
3. The technician diagnoses the fault and gives a firm quote.
4. With your approval, we repair and test the appliance.
5. You receive an invoice and warranty details: [INSERT WARRANTY].
H2: Brands We Service in Patchogue
We repair wine cooler models from EdgeStar, U-Line, Sub-Zero, Perlick, Vinotemp, Whynter, Danby, Avanti, Wine Enthusiast, and Kalamera and more for customers in Patchogue. If you are unsure about your model, send us the model number and we will confirm we can help.
H2: Repair or Replace? Advice for Patchogue Residents
Most wine coolers are worth repairing when the fault is a fan, sensor or seal; thermoelectric units with failed modules may be less cost-effective.
H2: Why Patchogue Customers Choose [BUSINESS NAME]
As a Suffolk County company, we know the area and the homes in it. We provide upfront quotes, treat your home with care and explain the problem clearly. Licensing and insurance: [INSERT DETAILS]. Customers in Patchogue call us because we respect their time and their budget.
H2: Wine Cooler Repair FAQs for Patchogue
Q: Do you provide wine cooler repair in Patchogue?
A: Yes. We serve Patchogue and nearby areas including Patchogue Village, East Patchogue, North Patchogue, and Blue Point. Contact us to confirm availability for your address.
Q: How soon can you come to Patchogue for wine cooler repair?
A: Availability varies by day. [INSERT YOUR SAME-DAY / NEXT-DAY POLICY]. We will offer the earliest window we have.
Q: How much does wine cooler repair cost in Patchogue?
A: We diagnose the issue first and give a written price before starting, so there are no surprises. [INSERT DIAGNOSTIC FEE POLICY].
Q: What temperature should a wine cooler hold?
A: Many collectors keep reds near 55 to 65°F and whites slightly cooler, but follow the manufacturer's guidance.
Q: Why is my wine cooler not cooling?
A: A failed fan, thermostat or compressor is the usual cause.
H2: Book Wine Cooler Repair in Patchogue Today
Call [PHONE] or request service online. Our team will get your wine cooler working again.
H2: Preparing for Your Patchogue Service Visit
A few simple steps help the technician work faster. Clear the area around your wine cooler so there is room to work, note when the problem started and any error codes, and keep the model number handy. If the appliance is leaking, switch off its power and water supply where it is safe to do so. For apartment and condo buildings in Patchogue, let us know about parking, access or building rules in advance so your appointment runs smoothly.</t>
  </si>
  <si>
    <t xml:space="preserve">Wine Cooler Repair Suffolk County -&gt; /wine-cooler-repair/
Appliance Repair Patchogue -&gt; /appliance-repair-patchogue-ny/
Wine Cooler Repair in Islip, NY -&gt; /wine-cooler-repair/islip-ny/
Refrigerator Repair in Patchogue -&gt; /refrigerator-repair/patchogue-ny/
Ice Maker Repair in Patchogue -&gt; /ice-maker-repair/patchogue-ny/
Contact Us -&gt; /contact/</t>
  </si>
  <si>
    <t xml:space="preserve">Garbage Disposal Repair Huntington</t>
  </si>
  <si>
    <t xml:space="preserve">/garbage-disposal-repair/huntington-ny/</t>
  </si>
  <si>
    <t xml:space="preserve">Garbage Disposal Repair Huntington NY</t>
  </si>
  <si>
    <t xml:space="preserve">Garbage Disposal Repair Huntington, NY | Local Technicians</t>
  </si>
  <si>
    <t xml:space="preserve">Looking for garbage disposal repair in Huntington, NY? Local technicians fix jams, leaks and motor failures. Upfront quotes. Call [PHONE].</t>
  </si>
  <si>
    <t xml:space="preserve">H1: Garbage Disposal Repair in Huntington, NY
Huntington blends a walkable historic village with established North Shore neighborhoods, many of them with older kitchens, finished basements and a mix of classic and high-end appliances. When your garbage disposal fails, you need a technician who understands local homes and gets the job done right the first time. [BUSINESS NAME] provides garbage disposal repair in Huntington and nearby neighborhoods, covering jams, leaks and motor failures for homeowners, renters and property managers.
Established homes with older plumbing and renovated kitchens mean dishwashers and disposals have to be matched carefully to drain lines and under-sink space. That is why Huntington residents often call us for garbage disposal problems before they turn into costly breakdowns. Call [PHONE] or book online and we will arrange an appointment at your Huntington address.
H2: Garbage Disposal Repair Throughout Huntington
Our technicians travel to homes and businesses across Huntington, including Huntington Village, Huntington Station, Greenlawn, Halesite, Cold Spring Harbor, Melville, South Huntington, and Dix Hills. Wherever you are located, we bring tools and common parts for most garbage disposal repairs to the first visit.
H2: Common Garbage Disposal Problems We Fix in Huntington
H3: Humming but not spinning
A jammed flywheel or seized motor, often cleared with a hex key or rotation tool.
H3: Completely dead
A tripped reset button, failed switch or electrical fault.
H3: Leaking underneath
A worn seal, loose flange or cracked housing.
H3: Slow drain or clogging
Debris buildup or a blocked drain line.
H3: Bad odors
Food residue and grease coating the grinding chamber.
H3: Loud grinding noise
A foreign object or worn components.
H2: How Huntington Homeowners Can Get the Most From Their Garbage Disposal
- Run cold water while grinding.
- Avoid grease, bones and fibrous scraps.
- Grind ice or citrus peels occasionally for freshening.
- Use the reset button before calling for service.
H2: Our Repair Process in Huntington
We clear jams, check seals and electrical supply and either repair or recommend replacement, always confirming the cost before proceeding.
1. Call or book online and describe the problem with your garbage disposal.
2. We confirm your Huntington address and schedule an appointment window.
3. The technician diagnoses the fault and gives a firm quote.
4. With your approval, we repair and test the appliance.
5. You receive an invoice and warranty details: [INSERT WARRANTY].
H2: Brands We Service in Huntington
We repair garbage disposal models from InSinkErator, Waste King, Moen, Kenmore, Whirlpool, GE, KitchenAid, and Badger and more for customers in Huntington. If you are unsure about your model, send us the model number and we will confirm we can help.
H2: Repair or Replace? Advice for Huntington Residents
Disposals typically last 8 to 12 years, and replacement is often more economical than repairing a seized or leaking motor.
H2: Why Huntington Customers Choose [BUSINESS NAME]
As a Suffolk County company, we know the area and the homes in it. We provide upfront quotes, treat your home with care and explain the problem clearly. Licensing and insurance: [INSERT DETAILS]. Customers in Huntington call us because we respect their time and their budget.
H2: Garbage Disposal Repair FAQs for Huntington
Q: Do you provide garbage disposal repair in Huntington?
A: Yes. We serve Huntington and nearby areas including Huntington Village, Huntington Station, Greenlawn, and Halesite. Contact us to confirm availability for your address.
Q: How soon can you come to Huntington for garbage disposal repair?
A: Availability varies by day. [INSERT YOUR SAME-DAY / NEXT-DAY POLICY]. We will offer the earliest window we have.
Q: How much does garbage disposal repair cost in Huntington?
A: We diagnose the issue first and give a written price before starting, so there are no surprises. [INSERT DIAGNOSTIC FEE POLICY].
Q: Why does my disposal hum but not spin?
A: The flywheel is usually jammed; a technician can free it safely.
Q: Why is my disposal leaking?
A: A worn seal, loose flange or cracked housing is typically responsible.
H2: Book Garbage Disposal Repair in Huntington Today
Call [PHONE] or request service online. Our team will get your garbage disposal working again.
H2: Preparing for Your Huntington Service Visit
A few simple steps help the technician work faster. Clear the area around your garbage disposal so there is room to work, note when the problem started and any error codes, and keep the model number handy. If the appliance is leaking, switch off its power and water supply where it is safe to do so. For apartment and condo buildings in Huntington, let us know about parking, access or building rules in advance so your appointment runs smoothly.</t>
  </si>
  <si>
    <t xml:space="preserve">Garbage Disposal Repair Suffolk County -&gt; /garbage-disposal-repair/
Appliance Repair Huntington -&gt; /appliance-repair-huntington-ny/
Garbage Disposal Repair in Smithtown, NY -&gt; /garbage-disposal-repair/smithtown-ny/
Dishwasher Repair in Huntington -&gt; /dishwasher-repair/huntington-ny/
Washing Machine Repair in Huntington -&gt; /washer-repair/huntington-ny/
Contact Us -&gt; /contact/</t>
  </si>
  <si>
    <t xml:space="preserve">Garbage Disposal Repair Smithtown</t>
  </si>
  <si>
    <t xml:space="preserve">/garbage-disposal-repair/smithtown-ny/</t>
  </si>
  <si>
    <t xml:space="preserve">Garbage Disposal Repair Smithtown NY</t>
  </si>
  <si>
    <t xml:space="preserve">Garbage Disposal Repair Smithtown, NY | Local Technicians</t>
  </si>
  <si>
    <t xml:space="preserve">Looking for garbage disposal repair in Smithtown, NY? Local technicians fix jams, leaks and motor failures. Upfront quotes. Call [PHONE].</t>
  </si>
  <si>
    <t xml:space="preserve">H1: Garbage Disposal Repair in Smithtown, NY
Smithtown is largely suburban, with family-sized homes, busy kitchens and households that run several appliances every single day. When your garbage disposal fails, you need a technician who understands local homes and gets the job done right the first time. [BUSINESS NAME] provides garbage disposal repair in Smithtown and nearby neighborhoods, covering jams, leaks and motor failures for homeowners, renters and property managers.
Busy family kitchens run the dishwasher daily and rely on disposals, so drain pumps, spray arms and clogged filters are frequent causes of service calls. That is why Smithtown residents often call us for garbage disposal problems before they turn into costly breakdowns. Call [PHONE] or book online and we will arrange an appointment at your Smithtown address.
H2: Garbage Disposal Repair Throughout Smithtown
Our technicians travel to homes and businesses across Smithtown, including Smithtown, Kings Park, St. James, Nesconset, Hauppauge, Fort Salonga, and Head of the Harbor. Wherever you are located, we bring tools and common parts for most garbage disposal repairs to the first visit.
H2: Common Garbage Disposal Problems We Fix in Smithtown
H3: Humming but not spinning
A jammed flywheel or seized motor, often cleared with a hex key or rotation tool.
H3: Completely dead
A tripped reset button, failed switch or electrical fault.
H3: Leaking underneath
A worn seal, loose flange or cracked housing.
H3: Slow drain or clogging
Debris buildup or a blocked drain line.
H3: Bad odors
Food residue and grease coating the grinding chamber.
H3: Loud grinding noise
A foreign object or worn components.
H2: How Smithtown Homeowners Can Get the Most From Their Garbage Disposal
- Run cold water while grinding.
- Avoid grease, bones and fibrous scraps.
- Grind ice or citrus peels occasionally for freshening.
- Use the reset button before calling for service.
H2: Our Repair Process in Smithtown
We clear jams, check seals and electrical supply and either repair or recommend replacement, always confirming the cost before proceeding.
1. Call or book online and describe the problem with your garbage disposal.
2. We confirm your Smithtown address and schedule an appointment window.
3. The technician diagnoses the fault and gives a firm quote.
4. With your approval, we repair and test the appliance.
5. You receive an invoice and warranty details: [INSERT WARRANTY].
H2: Brands We Service in Smithtown
We repair garbage disposal models from InSinkErator, Waste King, Moen, Kenmore, Whirlpool, GE, KitchenAid, and Badger and more for customers in Smithtown. If you are unsure about your model, send us the model number and we will confirm we can help.
H2: Repair or Replace? Advice for Smithtown Residents
Disposals typically last 8 to 12 years, and replacement is often more economical than repairing a seized or leaking motor.
H2: Why Smithtown Customers Choose [BUSINESS NAME]
As a Suffolk County company, we know the area and the homes in it. We provide upfront quotes, treat your home with care and explain the problem clearly. Licensing and insurance: [INSERT DETAILS]. Customers in Smithtown call us because we respect their time and their budget.
H2: Garbage Disposal Repair FAQs for Smithtown
Q: Do you provide garbage disposal repair in Smithtown?
A: Yes. We serve Smithtown and nearby areas including Smithtown, Kings Park, St. James, and Nesconset. Contact us to confirm availability for your address.
Q: How soon can you come to Smithtown for garbage disposal repair?
A: Availability varies by day. [INSERT YOUR SAME-DAY / NEXT-DAY POLICY]. We will offer the earliest window we have.
Q: How much does garbage disposal repair cost in Smithtown?
A: We diagnose the issue first and give a written price before starting, so there are no surprises. [INSERT DIAGNOSTIC FEE POLICY].
Q: Why does my disposal hum but not spin?
A: The flywheel is usually jammed; a technician can free it safely.
Q: Why is my disposal leaking?
A: A worn seal, loose flange or cracked housing is typically responsible.
H2: Book Garbage Disposal Repair in Smithtown Today
Call [PHONE] or request service online. Our team will get your garbage disposal working again.
H2: Preparing for Your Smithtown Service Visit
A few simple steps help the technician work faster. Clear the area around your garbage disposal so there is room to work, note when the problem started and any error codes, and keep the model number handy. If the appliance is leaking, switch off its power and water supply where it is safe to do so. For apartment and condo buildings in Smithtown, let us know about parking, access or building rules in advance so your appointment runs smoothly.</t>
  </si>
  <si>
    <t xml:space="preserve">Garbage Disposal Repair Suffolk County -&gt; /garbage-disposal-repair/
Appliance Repair Smithtown -&gt; /appliance-repair-smithtown-ny/
Garbage Disposal Repair in Huntington, NY -&gt; /garbage-disposal-repair/huntington-ny/
Garbage Disposal Repair in Islip, NY -&gt; /garbage-disposal-repair/islip-ny/
Dishwasher Repair in Smithtown -&gt; /dishwasher-repair/smithtown-ny/
Washing Machine Repair in Smithtown -&gt; /washer-repair/smithtown-ny/
Contact Us -&gt; /contact/</t>
  </si>
  <si>
    <t xml:space="preserve">Garbage Disposal Repair Islip</t>
  </si>
  <si>
    <t xml:space="preserve">/garbage-disposal-repair/islip-ny/</t>
  </si>
  <si>
    <t xml:space="preserve">Garbage Disposal Repair Islip NY</t>
  </si>
  <si>
    <t xml:space="preserve">Garbage Disposal Repair Islip, NY | Local Technicians</t>
  </si>
  <si>
    <t xml:space="preserve">Looking for garbage disposal repair in Islip, NY? Local technicians fix jams, leaks and motor failures. Upfront quotes. Call [PHONE].</t>
  </si>
  <si>
    <t xml:space="preserve">H1: Garbage Disposal Repair in Islip, NY
Islip stretches across the South Shore, from waterfront communities near the Great South Bay to inland neighborhoods, with a wide mix of single-family homes, condos and rentals. When your garbage disposal fails, you need a technician who understands local homes and gets the job done right the first time. [BUSINESS NAME] provides garbage disposal repair in Islip and nearby neighborhoods, covering jams, leaks and motor failures for homeowners, renters and property managers.
A varied housing stock means plumbing and drain setups differ widely from home to home, which affects how dishwashers and disposals drain. That is why Islip residents often call us for garbage disposal problems before they turn into costly breakdowns. Call [PHONE] or book online and we will arrange an appointment at your Islip address.
H2: Garbage Disposal Repair Throughout Islip
Our technicians travel to homes and businesses across Islip, including Islip, East Islip, Islip Terrace, Bay Shore, Brentwood, Central Islip, Sayville, and Great River. Wherever you are located, we bring tools and common parts for most garbage disposal repairs to the first visit.
H2: Common Garbage Disposal Problems We Fix in Islip
H3: Humming but not spinning
A jammed flywheel or seized motor, often cleared with a hex key or rotation tool.
H3: Completely dead
A tripped reset button, failed switch or electrical fault.
H3: Leaking underneath
A worn seal, loose flange or cracked housing.
H3: Slow drain or clogging
Debris buildup or a blocked drain line.
H3: Bad odors
Food residue and grease coating the grinding chamber.
H3: Loud grinding noise
A foreign object or worn components.
H2: How Islip Homeowners Can Get the Most From Their Garbage Disposal
- Run cold water while grinding.
- Avoid grease, bones and fibrous scraps.
- Grind ice or citrus peels occasionally for freshening.
- Use the reset button before calling for service.
H2: Our Repair Process in Islip
We clear jams, check seals and electrical supply and either repair or recommend replacement, always confirming the cost before proceeding.
1. Call or book online and describe the problem with your garbage disposal.
2. We confirm your Islip address and schedule an appointment window.
3. The technician diagnoses the fault and gives a firm quote.
4. With your approval, we repair and test the appliance.
5. You receive an invoice and warranty details: [INSERT WARRANTY].
H2: Brands We Service in Islip
We repair garbage disposal models from InSinkErator, Waste King, Moen, Kenmore, Whirlpool, GE, KitchenAid, and Badger and more for customers in Islip. If you are unsure about your model, send us the model number and we will confirm we can help.
H2: Repair or Replace? Advice for Islip Residents
Disposals typically last 8 to 12 years, and replacement is often more economical than repairing a seized or leaking motor.
H2: Why Islip Customers Choose [BUSINESS NAME]
As a Suffolk County company, we know the area and the homes in it. We provide upfront quotes, treat your home with care and explain the problem clearly. Licensing and insurance: [INSERT DETAILS]. Customers in Islip call us because we respect their time and their budget.
H2: Garbage Disposal Repair FAQs for Islip
Q: Do you provide garbage disposal repair in Islip?
A: Yes. We serve Islip and nearby areas including Islip, East Islip, Islip Terrace, and Bay Shore. Contact us to confirm availability for your address.
Q: How soon can you come to Islip for garbage disposal repair?
A: Availability varies by day. [INSERT YOUR SAME-DAY / NEXT-DAY POLICY]. We will offer the earliest window we have.
Q: How much does garbage disposal repair cost in Islip?
A: We diagnose the issue first and give a written price before starting, so there are no surprises. [INSERT DIAGNOSTIC FEE POLICY].
Q: Why does my disposal hum but not spin?
A: The flywheel is usually jammed; a technician can free it safely.
Q: Why is my disposal leaking?
A: A worn seal, loose flange or cracked housing is typically responsible.
H2: Book Garbage Disposal Repair in Islip Today
Call [PHONE] or request service online. Our team will get your garbage disposal working again.
H2: Preparing for Your Islip Service Visit
A few simple steps help the technician work faster. Clear the area around your garbage disposal so there is room to work, note when the problem started and any error codes, and keep the model number handy. If the appliance is leaking, switch off its power and water supply where it is safe to do so. For apartment and condo buildings in Islip, let us know about parking, access or building rules in advance so your appointment runs smoothly.</t>
  </si>
  <si>
    <t xml:space="preserve">Garbage Disposal Repair Suffolk County -&gt; /garbage-disposal-repair/
Appliance Repair Islip -&gt; /appliance-repair-islip-ny/
Garbage Disposal Repair in Babylon, NY -&gt; /garbage-disposal-repair/babylon-ny/
Garbage Disposal Repair in Patchogue, NY -&gt; /garbage-disposal-repair/patchogue-ny/
Dishwasher Repair in Islip -&gt; /dishwasher-repair/islip-ny/
Washing Machine Repair in Islip -&gt; /washer-repair/islip-ny/
Contact Us -&gt; /contact/</t>
  </si>
  <si>
    <t xml:space="preserve">Garbage Disposal Repair Babylon</t>
  </si>
  <si>
    <t xml:space="preserve">/garbage-disposal-repair/babylon-ny/</t>
  </si>
  <si>
    <t xml:space="preserve">Garbage Disposal Repair Babylon NY</t>
  </si>
  <si>
    <t xml:space="preserve">Garbage Disposal Repair Babylon, NY | Local Technicians</t>
  </si>
  <si>
    <t xml:space="preserve">Looking for garbage disposal repair in Babylon, NY? Local technicians fix jams, leaks and motor failures. Upfront quotes. Call [PHONE].</t>
  </si>
  <si>
    <t xml:space="preserve">H1: Garbage Disposal Repair in Babylon, NY
The Town of Babylon covers busy South Shore villages and hamlets with a large share of well-kept single-family homes, plus apartments and rental units. When your garbage disposal fails, you need a technician who understands local homes and gets the job done right the first time. [BUSINESS NAME] provides garbage disposal repair in Babylon and nearby neighborhoods, covering jams, leaks and motor failures for homeowners, renters and property managers.
Dishwashers and disposals in compact kitchens often share tight cabinets, so leaks and slow drains are best caught early. That is why Babylon residents often call us for garbage disposal problems before they turn into costly breakdowns. Call [PHONE] or book online and we will arrange an appointment at your Babylon address.
H2: Garbage Disposal Repair Throughout Babylon
Our technicians travel to homes and businesses across Babylon, including Babylon Village, Lindenhurst, Copiague, West Babylon, North Babylon, Deer Park, and Wyandanch. Wherever you are located, we bring tools and common parts for most garbage disposal repairs to the first visit.
H2: Common Garbage Disposal Problems We Fix in Babylon
H3: Humming but not spinning
A jammed flywheel or seized motor, often cleared with a hex key or rotation tool.
H3: Completely dead
A tripped reset button, failed switch or electrical fault.
H3: Leaking underneath
A worn seal, loose flange or cracked housing.
H3: Slow drain or clogging
Debris buildup or a blocked drain line.
H3: Bad odors
Food residue and grease coating the grinding chamber.
H3: Loud grinding noise
A foreign object or worn components.
H2: How Babylon Homeowners Can Get the Most From Their Garbage Disposal
- Run cold water while grinding.
- Avoid grease, bones and fibrous scraps.
- Grind ice or citrus peels occasionally for freshening.
- Use the reset button before calling for service.
H2: Our Repair Process in Babylon
We clear jams, check seals and electrical supply and either repair or recommend replacement, always confirming the cost before proceeding.
1. Call or book online and describe the problem with your garbage disposal.
2. We confirm your Babylon address and schedule an appointment window.
3. The technician diagnoses the fault and gives a firm quote.
4. With your approval, we repair and test the appliance.
5. You receive an invoice and warranty details: [INSERT WARRANTY].
H2: Brands We Service in Babylon
We repair garbage disposal models from InSinkErator, Waste King, Moen, Kenmore, Whirlpool, GE, KitchenAid, and Badger and more for customers in Babylon. If you are unsure about your model, send us the model number and we will confirm we can help.
H2: Repair or Replace? Advice for Babylon Residents
Disposals typically last 8 to 12 years, and replacement is often more economical than repairing a seized or leaking motor.
H2: Why Babylon Customers Choose [BUSINESS NAME]
As a Suffolk County company, we know the area and the homes in it. We provide upfront quotes, treat your home with care and explain the problem clearly. Licensing and insurance: [INSERT DETAILS]. Customers in Babylon call us because we respect their time and their budget.
H2: Garbage Disposal Repair FAQs for Babylon
Q: Do you provide garbage disposal repair in Babylon?
A: Yes. We serve Babylon and nearby areas including Babylon Village, Lindenhurst, Copiague, and West Babylon. Contact us to confirm availability for your address.
Q: How soon can you come to Babylon for garbage disposal repair?
A: Availability varies by day. [INSERT YOUR SAME-DAY / NEXT-DAY POLICY]. We will offer the earliest window we have.
Q: How much does garbage disposal repair cost in Babylon?
A: We diagnose the issue first and give a written price before starting, so there are no surprises. [INSERT DIAGNOSTIC FEE POLICY].
Q: Why does my disposal hum but not spin?
A: The flywheel is usually jammed; a technician can free it safely.
Q: Why is my disposal leaking?
A: A worn seal, loose flange or cracked housing is typically responsible.
H2: Book Garbage Disposal Repair in Babylon Today
Call [PHONE] or request service online. Our team will get your garbage disposal working again.
H2: Preparing for Your Babylon Service Visit
A few simple steps help the technician work faster. Clear the area around your garbage disposal so there is room to work, note when the problem started and any error codes, and keep the model number handy. If the appliance is leaking, switch off its power and water supply where it is safe to do so. For apartment and condo buildings in Babylon, let us know about parking, access or building rules in advance so your appointment runs smoothly.</t>
  </si>
  <si>
    <t xml:space="preserve">Garbage Disposal Repair Suffolk County -&gt; /garbage-disposal-repair/
Appliance Repair Babylon -&gt; /appliance-repair-babylon-ny/
Garbage Disposal Repair in Islip, NY -&gt; /garbage-disposal-repair/islip-ny/
Dishwasher Repair in Babylon -&gt; /dishwasher-repair/babylon-ny/
Washing Machine Repair in Babylon -&gt; /washer-repair/babylon-ny/
Contact Us -&gt; /contact/</t>
  </si>
  <si>
    <t xml:space="preserve">Garbage Disposal Repair Patchogue</t>
  </si>
  <si>
    <t xml:space="preserve">/garbage-disposal-repair/patchogue-ny/</t>
  </si>
  <si>
    <t xml:space="preserve">Garbage Disposal Repair Patchogue NY</t>
  </si>
  <si>
    <t xml:space="preserve">Garbage Disposal Repair Patchogue, NY | Local Technicians</t>
  </si>
  <si>
    <t xml:space="preserve">Looking for garbage disposal repair in Patchogue, NY? Local technicians fix jams, leaks and motor failures. Upfront quotes. Call [PHONE].</t>
  </si>
  <si>
    <t xml:space="preserve">H1: Garbage Disposal Repair in Patchogue, NY
Patchogue is a lively waterfront village with a walkable downtown, surrounded by neighborhoods of single-family homes, condos and apartments. When your garbage disposal fails, you need a technician who understands local homes and gets the job done right the first time. [BUSINESS NAME] provides garbage disposal repair in Patchogue and nearby neighborhoods, covering jams, leaks and motor failures for homeowners, renters and property managers.
Compact kitchens in apartments and condos use space-saving dishwashers and disposals, where drain issues and leaks can affect neighbors below. That is why Patchogue residents often call us for garbage disposal problems before they turn into costly breakdowns. Call [PHONE] or book online and we will arrange an appointment at your Patchogue address.
H2: Garbage Disposal Repair Throughout Patchogue
Our technicians travel to homes and businesses across Patchogue, including Patchogue Village, East Patchogue, North Patchogue, Blue Point, Bellport, Medford, and Holbrook. Wherever you are located, we bring tools and common parts for most garbage disposal repairs to the first visit.
H2: Common Garbage Disposal Problems We Fix in Patchogue
H3: Humming but not spinning
A jammed flywheel or seized motor, often cleared with a hex key or rotation tool.
H3: Completely dead
A tripped reset button, failed switch or electrical fault.
H3: Leaking underneath
A worn seal, loose flange or cracked housing.
H3: Slow drain or clogging
Debris buildup or a blocked drain line.
H3: Bad odors
Food residue and grease coating the grinding chamber.
H3: Loud grinding noise
A foreign object or worn components.
H2: How Patchogue Homeowners Can Get the Most From Their Garbage Disposal
- Run cold water while grinding.
- Avoid grease, bones and fibrous scraps.
- Grind ice or citrus peels occasionally for freshening.
- Use the reset button before calling for service.
H2: Our Repair Process in Patchogue
We clear jams, check seals and electrical supply and either repair or recommend replacement, always confirming the cost before proceeding.
1. Call or book online and describe the problem with your garbage disposal.
2. We confirm your Patchogue address and schedule an appointment window.
3. The technician diagnoses the fault and gives a firm quote.
4. With your approval, we repair and test the appliance.
5. You receive an invoice and warranty details: [INSERT WARRANTY].
H2: Brands We Service in Patchogue
We repair garbage disposal models from InSinkErator, Waste King, Moen, Kenmore, Whirlpool, GE, KitchenAid, and Badger and more for customers in Patchogue. If you are unsure about your model, send us the model number and we will confirm we can help.
H2: Repair or Replace? Advice for Patchogue Residents
Disposals typically last 8 to 12 years, and replacement is often more economical than repairing a seized or leaking motor.
H2: Why Patchogue Customers Choose [BUSINESS NAME]
As a Suffolk County company, we know the area and the homes in it. We provide upfront quotes, treat your home with care and explain the problem clearly. Licensing and insurance: [INSERT DETAILS]. Customers in Patchogue call us because we respect their time and their budget.
H2: Garbage Disposal Repair FAQs for Patchogue
Q: Do you provide garbage disposal repair in Patchogue?
A: Yes. We serve Patchogue and nearby areas including Patchogue Village, East Patchogue, North Patchogue, and Blue Point. Contact us to confirm availability for your address.
Q: How soon can you come to Patchogue for garbage disposal repair?
A: Availability varies by day. [INSERT YOUR SAME-DAY / NEXT-DAY POLICY]. We will offer the earliest window we have.
Q: How much does garbage disposal repair cost in Patchogue?
A: We diagnose the issue first and give a written price before starting, so there are no surprises. [INSERT DIAGNOSTIC FEE POLICY].
Q: Why does my disposal hum but not spin?
A: The flywheel is usually jammed; a technician can free it safely.
Q: Why is my disposal leaking?
A: A worn seal, loose flange or cracked housing is typically responsible.
H2: Book Garbage Disposal Repair in Patchogue Today
Call [PHONE] or request service online. Our team will get your garbage disposal working again.
H2: Preparing for Your Patchogue Service Visit
A few simple steps help the technician work faster. Clear the area around your garbage disposal so there is room to work, note when the problem started and any error codes, and keep the model number handy. If the appliance is leaking, switch off its power and water supply where it is safe to do so. For apartment and condo buildings in Patchogue, let us know about parking, access or building rules in advance so your appointment runs smoothly.</t>
  </si>
  <si>
    <t xml:space="preserve">Garbage Disposal Repair Suffolk County -&gt; /garbage-disposal-repair/
Appliance Repair Patchogue -&gt; /appliance-repair-patchogue-ny/
Garbage Disposal Repair in Islip, NY -&gt; /garbage-disposal-repair/islip-ny/
Dishwasher Repair in Patchogue -&gt; /dishwasher-repair/patchogue-ny/
Washing Machine Repair in Patchogue -&gt; /washer-repair/patchogue-ny/
Contact Us -&gt; /contact/</t>
  </si>
  <si>
    <t xml:space="preserve">Commercial Appliance Repair Huntington</t>
  </si>
  <si>
    <t xml:space="preserve">/commercial-appliance-repair/huntington-ny/</t>
  </si>
  <si>
    <t xml:space="preserve">Commercial Appliance Repair Huntington NY</t>
  </si>
  <si>
    <t xml:space="preserve">Commercial Appliance Repair Huntington, NY | [BUSINESS NAME]</t>
  </si>
  <si>
    <t xml:space="preserve">Looking for commercial appliance repair in Huntington, NY? Local technicians fix refrigeration, cooking and ice equipment. Upfront quotes. Call [PHONE].</t>
  </si>
  <si>
    <t xml:space="preserve">H1: Commercial Appliance Repair in Huntington, NY
Huntington blends a walkable historic village with established North Shore neighborhoods, many of them with older kitchens, finished basements and a mix of classic and high-end appliances. When your commercial appliance fails, you need a technician who understands local homes and gets the job done right the first time. [BUSINESS NAME] provides commercial appliance repair in Huntington and nearby neighborhoods, covering refrigeration, cooking and ice equipment for homeowners, renters and property managers.
Huntington Village's restaurants, cafes and shops depend on reach-in coolers, ranges and ice machines that cannot afford downtime. That is why Huntington residents often call us for commercial appliance problems before they turn into costly breakdowns. Call [PHONE] or book online and we will arrange an appointment at your Huntington address.
H2: Commercial Appliance Repair Throughout Huntington
Our technicians travel to homes and businesses across Huntington, including Huntington Village, Huntington Station, Greenlawn, Halesite, Cold Spring Harbor, Melville, South Huntington, and Dix Hills. Wherever you are located, we bring tools and common parts for most commercial appliance repairs to the first visit.
H2: Common Commercial Appliance Problems We Fix in Huntington
H3: Walk-in or reach-in not holding temperature
A failed condenser fan, evaporator fan, compressor relay or thermostat.
H3: Commercial ice machine not producing
A water supply fault, failed sensor or dirty condenser.
H3: Range or oven not heating
A failed igniter, thermostat, pilot or gas valve.
H3: Fryer won't hold temperature
A faulty thermostat, high-limit or heating element.
H3: Dish machine problems
Wash pump, heating or drain faults.
H3: Water or gas leaks
Damaged fittings, seals or hoses that need prompt repair.
H2: How Huntington Homeowners Can Get the Most From Their Commercial Appliance
- Clean condenser coils monthly.
- Check door gaskets weekly.
- Log temperatures daily for inspections.
- Schedule preventive maintenance before busy seasons.
H2: Our Repair Process in Huntington
We prioritize fast diagnosis to get your kitchen back up. After a clear estimate we repair the fault, and can recommend preventive maintenance plans for key equipment.
1. Call or book online and describe the problem with your commercial appliance.
2. We confirm your Huntington address and schedule an appointment window.
3. The technician diagnoses the fault and gives a firm quote.
4. With your approval, we repair and test the appliance.
5. You receive an invoice and warranty details: [INSERT WARRANTY].
H2: Brands We Service in Huntington
We repair commercial appliance models from True, Hoshizaki, Scotsman, Manitowoc, Vulcan, Garland, Hobart, Traulsen, Turbo Air, and Blodgett and more for customers in Huntington. If you are unsure about your model, send us the model number and we will confirm we can help.
H2: Repair or Replace? Advice for Huntington Residents
We help you weigh repair against replacement based on equipment age, repair cost and downtime risk.
H2: Why Huntington Customers Choose [BUSINESS NAME]
As a Suffolk County company, we know the area and the homes in it. We provide upfront quotes, treat your home with care and explain the problem clearly. Licensing and insurance: [INSERT DETAILS]. Customers in Huntington call us because we respect their time and their budget.
H2: Commercial Appliance Repair FAQs for Huntington
Q: Do you provide commercial appliance repair in Huntington?
A: Yes. We serve Huntington and nearby areas including Huntington Village, Huntington Station, Greenlawn, and Halesite. Contact us to confirm availability for your address.
Q: How soon can you come to Huntington for commercial appliance repair?
A: Availability varies by day. [INSERT YOUR SAME-DAY / NEXT-DAY POLICY]. We will offer the earliest window we have.
Q: How much does commercial appliance repair cost in Huntington?
A: We diagnose the issue first and give a written price before starting, so there are no surprises. [INSERT DIAGNOSTIC FEE POLICY].
Q: Do you offer emergency commercial repairs?
A: Availability depends on your schedule and our team; contact us to arrange priority service for your business.
Q: Can you maintain equipment on a schedule?
A: Yes, preventive maintenance helps avoid unexpected failures.
H2: Book Commercial Appliance Repair in Huntington Today
Call [PHONE] or request service online. Our team will get your commercial appliance working again.
H2: Preparing for Your Huntington Service Visit
A few simple steps help the technician work faster. Clear the area around your commercial appliance so there is room to work, note when the problem started and any error codes, and keep the model number handy. If the appliance is leaking, switch off its power and water supply where it is safe to do so. For apartment and condo buildings in Huntington, let us know about parking, access or building rules in advance so your appointment runs smoothly.</t>
  </si>
  <si>
    <t xml:space="preserve">Commercial Appliance Repair Suffolk County -&gt; /commercial-appliance-repair/
Appliance Repair Huntington -&gt; /appliance-repair-huntington-ny/
Commercial Appliance Repair in Smithtown, NY -&gt; /commercial-appliance-repair/smithtown-ny/
Ice Maker Repair in Huntington -&gt; /ice-maker-repair/huntington-ny/
Freezer Repair in Huntington -&gt; /freezer-repair/huntington-ny/
Contact Us -&gt; /contact/</t>
  </si>
  <si>
    <t xml:space="preserve">Town of Huntington -&gt; https://www.huntingtonny.gov/
Suffolk County Department of Health Services -&gt; https://www.suffolkcountyny.gov/Departments/Health-Services</t>
  </si>
  <si>
    <t xml:space="preserve">Commercial Appliance Repair Smithtown</t>
  </si>
  <si>
    <t xml:space="preserve">/commercial-appliance-repair/smithtown-ny/</t>
  </si>
  <si>
    <t xml:space="preserve">Commercial Appliance Repair Smithtown NY</t>
  </si>
  <si>
    <t xml:space="preserve">Commercial Appliance Repair Smithtown, NY | [BUSINESS NAME]</t>
  </si>
  <si>
    <t xml:space="preserve">Looking for commercial appliance repair in Smithtown, NY? Local technicians fix refrigeration, cooking and ice equipment. Upfront quotes. Call [PHONE].</t>
  </si>
  <si>
    <t xml:space="preserve">H1: Commercial Appliance Repair in Smithtown, NY
Smithtown is largely suburban, with family-sized homes, busy kitchens and households that run several appliances every single day. When your commercial appliance fails, you need a technician who understands local homes and gets the job done right the first time. [BUSINESS NAME] provides commercial appliance repair in Smithtown and nearby neighborhoods, covering refrigeration, cooking and ice equipment for homeowners, renters and property managers.
Hauppauge's business parks and Smithtown's local eateries rely on commercial refrigeration and cooking equipment. That is why Smithtown residents often call us for commercial appliance problems before they turn into costly breakdowns. Call [PHONE] or book online and we will arrange an appointment at your Smithtown address.
H2: Commercial Appliance Repair Throughout Smithtown
Our technicians travel to homes and businesses across Smithtown, including Smithtown, Kings Park, St. James, Nesconset, Hauppauge, Fort Salonga, and Head of the Harbor. Wherever you are located, we bring tools and common parts for most commercial appliance repairs to the first visit.
H2: Common Commercial Appliance Problems We Fix in Smithtown
H3: Walk-in or reach-in not holding temperature
A failed condenser fan, evaporator fan, compressor relay or thermostat.
H3: Commercial ice machine not producing
A water supply fault, failed sensor or dirty condenser.
H3: Range or oven not heating
A failed igniter, thermostat, pilot or gas valve.
H3: Fryer won't hold temperature
A faulty thermostat, high-limit or heating element.
H3: Dish machine problems
Wash pump, heating or drain faults.
H3: Water or gas leaks
Damaged fittings, seals or hoses that need prompt repair.
H2: How Smithtown Homeowners Can Get the Most From Their Commercial Appliance
- Clean condenser coils monthly.
- Check door gaskets weekly.
- Log temperatures daily for inspections.
- Schedule preventive maintenance before busy seasons.
H2: Our Repair Process in Smithtown
We prioritize fast diagnosis to get your kitchen back up. After a clear estimate we repair the fault, and can recommend preventive maintenance plans for key equipment.
1. Call or book online and describe the problem with your commercial appliance.
2. We confirm your Smithtown address and schedule an appointment window.
3. The technician diagnoses the fault and gives a firm quote.
4. With your approval, we repair and test the appliance.
5. You receive an invoice and warranty details: [INSERT WARRANTY].
H2: Brands We Service in Smithtown
We repair commercial appliance models from True, Hoshizaki, Scotsman, Manitowoc, Vulcan, Garland, Hobart, Traulsen, Turbo Air, and Blodgett and more for customers in Smithtown. If you are unsure about your model, send us the model number and we will confirm we can help.
H2: Repair or Replace? Advice for Smithtown Residents
We help you weigh repair against replacement based on equipment age, repair cost and downtime risk.
H2: Why Smithtown Customers Choose [BUSINESS NAME]
As a Suffolk County company, we know the area and the homes in it. We provide upfront quotes, treat your home with care and explain the problem clearly. Licensing and insurance: [INSERT DETAILS]. Customers in Smithtown call us because we respect their time and their budget.
H2: Commercial Appliance Repair FAQs for Smithtown
Q: Do you provide commercial appliance repair in Smithtown?
A: Yes. We serve Smithtown and nearby areas including Smithtown, Kings Park, St. James, and Nesconset. Contact us to confirm availability for your address.
Q: How soon can you come to Smithtown for commercial appliance repair?
A: Availability varies by day. [INSERT YOUR SAME-DAY / NEXT-DAY POLICY]. We will offer the earliest window we have.
Q: How much does commercial appliance repair cost in Smithtown?
A: We diagnose the issue first and give a written price before starting, so there are no surprises. [INSERT DIAGNOSTIC FEE POLICY].
Q: Do you offer emergency commercial repairs?
A: Availability depends on your schedule and our team; contact us to arrange priority service for your business.
Q: Can you maintain equipment on a schedule?
A: Yes, preventive maintenance helps avoid unexpected failures.
H2: Book Commercial Appliance Repair in Smithtown Today
Call [PHONE] or request service online. Our team will get your commercial appliance working again.
H2: Preparing for Your Smithtown Service Visit
A few simple steps help the technician work faster. Clear the area around your commercial appliance so there is room to work, note when the problem started and any error codes, and keep the model number handy. If the appliance is leaking, switch off its power and water supply where it is safe to do so. For apartment and condo buildings in Smithtown, let us know about parking, access or building rules in advance so your appointment runs smoothly.</t>
  </si>
  <si>
    <t xml:space="preserve">Commercial Appliance Repair Suffolk County -&gt; /commercial-appliance-repair/
Appliance Repair Smithtown -&gt; /appliance-repair-smithtown-ny/
Commercial Appliance Repair in Huntington, NY -&gt; /commercial-appliance-repair/huntington-ny/
Commercial Appliance Repair in Islip, NY -&gt; /commercial-appliance-repair/islip-ny/
Ice Maker Repair in Smithtown -&gt; /ice-maker-repair/smithtown-ny/
Freezer Repair in Smithtown -&gt; /freezer-repair/smithtown-ny/
Contact Us -&gt; /contact/</t>
  </si>
  <si>
    <t xml:space="preserve">Town of Smithtown -&gt; https://www.smithtownny.gov/
Suffolk County Department of Health Services -&gt; https://www.suffolkcountyny.gov/Departments/Health-Services</t>
  </si>
  <si>
    <t xml:space="preserve">Commercial Appliance Repair Islip</t>
  </si>
  <si>
    <t xml:space="preserve">/commercial-appliance-repair/islip-ny/</t>
  </si>
  <si>
    <t xml:space="preserve">Commercial Appliance Repair Islip NY</t>
  </si>
  <si>
    <t xml:space="preserve">Commercial Appliance Repair Islip, NY | Local Technicians</t>
  </si>
  <si>
    <t xml:space="preserve">Looking for commercial appliance repair in Islip, NY? Local technicians fix refrigeration, cooking and ice equipment. Upfront quotes. Call [PHONE].</t>
  </si>
  <si>
    <t xml:space="preserve">H1: Commercial Appliance Repair in Islip, NY
Islip stretches across the South Shore, from waterfront communities near the Great South Bay to inland neighborhoods, with a wide mix of single-family homes, condos and rentals. When your commercial appliance fails, you need a technician who understands local homes and gets the job done right the first time. [BUSINESS NAME] provides commercial appliance repair in Islip and nearby neighborhoods, covering refrigeration, cooking and ice equipment for homeowners, renters and property managers.
Bay Shore's restaurants and waterfront eateries, plus shops across Islip, depend on commercial refrigeration, ice machines and cooking lines. That is why Islip residents often call us for commercial appliance problems before they turn into costly breakdowns. Call [PHONE] or book online and we will arrange an appointment at your Islip address.
H2: Commercial Appliance Repair Throughout Islip
Our technicians travel to homes and businesses across Islip, including Islip, East Islip, Islip Terrace, Bay Shore, Brentwood, Central Islip, Sayville, and Great River. Wherever you are located, we bring tools and common parts for most commercial appliance repairs to the first visit.
H2: Common Commercial Appliance Problems We Fix in Islip
H3: Walk-in or reach-in not holding temperature
A failed condenser fan, evaporator fan, compressor relay or thermostat.
H3: Commercial ice machine not producing
A water supply fault, failed sensor or dirty condenser.
H3: Range or oven not heating
A failed igniter, thermostat, pilot or gas valve.
H3: Fryer won't hold temperature
A faulty thermostat, high-limit or heating element.
H3: Dish machine problems
Wash pump, heating or drain faults.
H3: Water or gas leaks
Damaged fittings, seals or hoses that need prompt repair.
H2: How Islip Homeowners Can Get the Most From Their Commercial Appliance
- Clean condenser coils monthly.
- Check door gaskets weekly.
- Log temperatures daily for inspections.
- Schedule preventive maintenance before busy seasons.
H2: Our Repair Process in Islip
We prioritize fast diagnosis to get your kitchen back up. After a clear estimate we repair the fault, and can recommend preventive maintenance plans for key equipment.
1. Call or book online and describe the problem with your commercial appliance.
2. We confirm your Islip address and schedule an appointment window.
3. The technician diagnoses the fault and gives a firm quote.
4. With your approval, we repair and test the appliance.
5. You receive an invoice and warranty details: [INSERT WARRANTY].
H2: Brands We Service in Islip
We repair commercial appliance models from True, Hoshizaki, Scotsman, Manitowoc, Vulcan, Garland, Hobart, Traulsen, Turbo Air, and Blodgett and more for customers in Islip. If you are unsure about your model, send us the model number and we will confirm we can help.
H2: Repair or Replace? Advice for Islip Residents
We help you weigh repair against replacement based on equipment age, repair cost and downtime risk.
H2: Why Islip Customers Choose [BUSINESS NAME]
As a Suffolk County company, we know the area and the homes in it. We provide upfront quotes, treat your home with care and explain the problem clearly. Licensing and insurance: [INSERT DETAILS]. Customers in Islip call us because we respect their time and their budget.
H2: Commercial Appliance Repair FAQs for Islip
Q: Do you provide commercial appliance repair in Islip?
A: Yes. We serve Islip and nearby areas including Islip, East Islip, Islip Terrace, and Bay Shore. Contact us to confirm availability for your address.
Q: How soon can you come to Islip for commercial appliance repair?
A: Availability varies by day. [INSERT YOUR SAME-DAY / NEXT-DAY POLICY]. We will offer the earliest window we have.
Q: How much does commercial appliance repair cost in Islip?
A: We diagnose the issue first and give a written price before starting, so there are no surprises. [INSERT DIAGNOSTIC FEE POLICY].
Q: Do you offer emergency commercial repairs?
A: Availability depends on your schedule and our team; contact us to arrange priority service for your business.
Q: Can you maintain equipment on a schedule?
A: Yes, preventive maintenance helps avoid unexpected failures.
H2: Book Commercial Appliance Repair in Islip Today
Call [PHONE] or request service online. Our team will get your commercial appliance working again.
H2: Preparing for Your Islip Service Visit
A few simple steps help the technician work faster. Clear the area around your commercial appliance so there is room to work, note when the problem started and any error codes, and keep the model number handy. If the appliance is leaking, switch off its power and water supply where it is safe to do so. For apartment and condo buildings in Islip, let us know about parking, access or building rules in advance so your appointment runs smoothly.</t>
  </si>
  <si>
    <t xml:space="preserve">Commercial Appliance Repair Suffolk County -&gt; /commercial-appliance-repair/
Appliance Repair Islip -&gt; /appliance-repair-islip-ny/
Commercial Appliance Repair in Babylon, NY -&gt; /commercial-appliance-repair/babylon-ny/
Commercial Appliance Repair in Patchogue, NY -&gt; /commercial-appliance-repair/patchogue-ny/
Ice Maker Repair in Islip -&gt; /ice-maker-repair/islip-ny/
Freezer Repair in Islip -&gt; /freezer-repair/islip-ny/
Contact Us -&gt; /contact/</t>
  </si>
  <si>
    <t xml:space="preserve">Town of Islip -&gt; https://www.islipny.gov/
Suffolk County Department of Health Services -&gt; https://www.suffolkcountyny.gov/Departments/Health-Services</t>
  </si>
  <si>
    <t xml:space="preserve">Commercial Appliance Repair Babylon</t>
  </si>
  <si>
    <t xml:space="preserve">/commercial-appliance-repair/babylon-ny/</t>
  </si>
  <si>
    <t xml:space="preserve">Commercial Appliance Repair Babylon NY</t>
  </si>
  <si>
    <t xml:space="preserve">Commercial Appliance Repair Babylon, NY | Local Technicians</t>
  </si>
  <si>
    <t xml:space="preserve">Looking for commercial appliance repair in Babylon, NY? Local technicians fix refrigeration, cooking and ice equipment. Upfront quotes. Call [PHONE].</t>
  </si>
  <si>
    <t xml:space="preserve">H1: Commercial Appliance Repair in Babylon, NY
The Town of Babylon covers busy South Shore villages and hamlets with a large share of well-kept single-family homes, plus apartments and rental units. When your commercial appliance fails, you need a technician who understands local homes and gets the job done right the first time. [BUSINESS NAME] provides commercial appliance repair in Babylon and nearby neighborhoods, covering refrigeration, cooking and ice equipment for homeowners, renters and property managers.
Local restaurants, delis, bakeries and pizzerias throughout Babylon rely on commercial ranges, ovens and refrigeration. That is why Babylon residents often call us for commercial appliance problems before they turn into costly breakdowns. Call [PHONE] or book online and we will arrange an appointment at your Babylon address.
H2: Commercial Appliance Repair Throughout Babylon
Our technicians travel to homes and businesses across Babylon, including Babylon Village, Lindenhurst, Copiague, West Babylon, North Babylon, Deer Park, and Wyandanch. Wherever you are located, we bring tools and common parts for most commercial appliance repairs to the first visit.
H2: Common Commercial Appliance Problems We Fix in Babylon
H3: Walk-in or reach-in not holding temperature
A failed condenser fan, evaporator fan, compressor relay or thermostat.
H3: Commercial ice machine not producing
A water supply fault, failed sensor or dirty condenser.
H3: Range or oven not heating
A failed igniter, thermostat, pilot or gas valve.
H3: Fryer won't hold temperature
A faulty thermostat, high-limit or heating element.
H3: Dish machine problems
Wash pump, heating or drain faults.
H3: Water or gas leaks
Damaged fittings, seals or hoses that need prompt repair.
H2: How Babylon Homeowners Can Get the Most From Their Commercial Appliance
- Clean condenser coils monthly.
- Check door gaskets weekly.
- Log temperatures daily for inspections.
- Schedule preventive maintenance before busy seasons.
H2: Our Repair Process in Babylon
We prioritize fast diagnosis to get your kitchen back up. After a clear estimate we repair the fault, and can recommend preventive maintenance plans for key equipment.
1. Call or book online and describe the problem with your commercial appliance.
2. We confirm your Babylon address and schedule an appointment window.
3. The technician diagnoses the fault and gives a firm quote.
4. With your approval, we repair and test the appliance.
5. You receive an invoice and warranty details: [INSERT WARRANTY].
H2: Brands We Service in Babylon
We repair commercial appliance models from True, Hoshizaki, Scotsman, Manitowoc, Vulcan, Garland, Hobart, Traulsen, Turbo Air, and Blodgett and more for customers in Babylon. If you are unsure about your model, send us the model number and we will confirm we can help.
H2: Repair or Replace? Advice for Babylon Residents
We help you weigh repair against replacement based on equipment age, repair cost and downtime risk.
H2: Why Babylon Customers Choose [BUSINESS NAME]
As a Suffolk County company, we know the area and the homes in it. We provide upfront quotes, treat your home with care and explain the problem clearly. Licensing and insurance: [INSERT DETAILS]. Customers in Babylon call us because we respect their time and their budget.
H2: Commercial Appliance Repair FAQs for Babylon
Q: Do you provide commercial appliance repair in Babylon?
A: Yes. We serve Babylon and nearby areas including Babylon Village, Lindenhurst, Copiague, and West Babylon. Contact us to confirm availability for your address.
Q: How soon can you come to Babylon for commercial appliance repair?
A: Availability varies by day. [INSERT YOUR SAME-DAY / NEXT-DAY POLICY]. We will offer the earliest window we have.
Q: How much does commercial appliance repair cost in Babylon?
A: We diagnose the issue first and give a written price before starting, so there are no surprises. [INSERT DIAGNOSTIC FEE POLICY].
Q: Do you offer emergency commercial repairs?
A: Availability depends on your schedule and our team; contact us to arrange priority service for your business.
Q: Can you maintain equipment on a schedule?
A: Yes, preventive maintenance helps avoid unexpected failures.
H2: Book Commercial Appliance Repair in Babylon Today
Call [PHONE] or request service online. Our team will get your commercial appliance working again.
H2: Preparing for Your Babylon Service Visit
A few simple steps help the technician work faster. Clear the area around your commercial appliance so there is room to work, note when the problem started and any error codes, and keep the model number handy. If the appliance is leaking, switch off its power and water supply where it is safe to do so. For apartment and condo buildings in Babylon, let us know about parking, access or building rules in advance so your appointment runs smoothly.</t>
  </si>
  <si>
    <t xml:space="preserve">Commercial Appliance Repair Suffolk County -&gt; /commercial-appliance-repair/
Appliance Repair Babylon -&gt; /appliance-repair-babylon-ny/
Commercial Appliance Repair in Islip, NY -&gt; /commercial-appliance-repair/islip-ny/
Ice Maker Repair in Babylon -&gt; /ice-maker-repair/babylon-ny/
Freezer Repair in Babylon -&gt; /freezer-repair/babylon-ny/
Contact Us -&gt; /contact/</t>
  </si>
  <si>
    <t xml:space="preserve">Town of Babylon -&gt; https://www.townofbabylon.com/
Suffolk County Department of Health Services -&gt; https://www.suffolkcountyny.gov/Departments/Health-Services</t>
  </si>
  <si>
    <t xml:space="preserve">Commercial Appliance Repair Patchogue</t>
  </si>
  <si>
    <t xml:space="preserve">/commercial-appliance-repair/patchogue-ny/</t>
  </si>
  <si>
    <t xml:space="preserve">Commercial Appliance Repair Patchogue NY</t>
  </si>
  <si>
    <t xml:space="preserve">Commercial Appliance Repair Patchogue, NY | [BUSINESS NAME]</t>
  </si>
  <si>
    <t xml:space="preserve">Looking for commercial appliance repair in Patchogue, NY? Local technicians fix refrigeration, cooking and ice equipment. Upfront quotes. Call [PHONE].</t>
  </si>
  <si>
    <t xml:space="preserve">H1: Commercial Appliance Repair in Patchogue, NY
Patchogue is a lively waterfront village with a walkable downtown, surrounded by neighborhoods of single-family homes, condos and apartments. When your commercial appliance fails, you need a technician who understands local homes and gets the job done right the first time. [BUSINESS NAME] provides commercial appliance repair in Patchogue and nearby neighborhoods, covering refrigeration, cooking and ice equipment for homeowners, renters and property managers.
Downtown Patchogue's restaurants, bars and cafes need fast repair of commercial refrigeration, ice machines and cooking equipment. That is why Patchogue residents often call us for commercial appliance problems before they turn into costly breakdowns. Call [PHONE] or book online and we will arrange an appointment at your Patchogue address.
H2: Commercial Appliance Repair Throughout Patchogue
Our technicians travel to homes and businesses across Patchogue, including Patchogue Village, East Patchogue, North Patchogue, Blue Point, Bellport, Medford, and Holbrook. Wherever you are located, we bring tools and common parts for most commercial appliance repairs to the first visit.
H2: Common Commercial Appliance Problems We Fix in Patchogue
H3: Walk-in or reach-in not holding temperature
A failed condenser fan, evaporator fan, compressor relay or thermostat.
H3: Commercial ice machine not producing
A water supply fault, failed sensor or dirty condenser.
H3: Range or oven not heating
A failed igniter, thermostat, pilot or gas valve.
H3: Fryer won't hold temperature
A faulty thermostat, high-limit or heating element.
H3: Dish machine problems
Wash pump, heating or drain faults.
H3: Water or gas leaks
Damaged fittings, seals or hoses that need prompt repair.
H2: How Patchogue Homeowners Can Get the Most From Their Commercial Appliance
- Clean condenser coils monthly.
- Check door gaskets weekly.
- Log temperatures daily for inspections.
- Schedule preventive maintenance before busy seasons.
H2: Our Repair Process in Patchogue
We prioritize fast diagnosis to get your kitchen back up. After a clear estimate we repair the fault, and can recommend preventive maintenance plans for key equipment.
1. Call or book online and describe the problem with your commercial appliance.
2. We confirm your Patchogue address and schedule an appointment window.
3. The technician diagnoses the fault and gives a firm quote.
4. With your approval, we repair and test the appliance.
5. You receive an invoice and warranty details: [INSERT WARRANTY].
H2: Brands We Service in Patchogue
We repair commercial appliance models from True, Hoshizaki, Scotsman, Manitowoc, Vulcan, Garland, Hobart, Traulsen, Turbo Air, and Blodgett and more for customers in Patchogue. If you are unsure about your model, send us the model number and we will confirm we can help.
H2: Repair or Replace? Advice for Patchogue Residents
We help you weigh repair against replacement based on equipment age, repair cost and downtime risk.
H2: Why Patchogue Customers Choose [BUSINESS NAME]
As a Suffolk County company, we know the area and the homes in it. We provide upfront quotes, treat your home with care and explain the problem clearly. Licensing and insurance: [INSERT DETAILS]. Customers in Patchogue call us because we respect their time and their budget.
H2: Commercial Appliance Repair FAQs for Patchogue
Q: Do you provide commercial appliance repair in Patchogue?
A: Yes. We serve Patchogue and nearby areas including Patchogue Village, East Patchogue, North Patchogue, and Blue Point. Contact us to confirm availability for your address.
Q: How soon can you come to Patchogue for commercial appliance repair?
A: Availability varies by day. [INSERT YOUR SAME-DAY / NEXT-DAY POLICY]. We will offer the earliest window we have.
Q: How much does commercial appliance repair cost in Patchogue?
A: We diagnose the issue first and give a written price before starting, so there are no surprises. [INSERT DIAGNOSTIC FEE POLICY].
Q: Do you offer emergency commercial repairs?
A: Availability depends on your schedule and our team; contact us to arrange priority service for your business.
Q: Can you maintain equipment on a schedule?
A: Yes, preventive maintenance helps avoid unexpected failures.
H2: Book Commercial Appliance Repair in Patchogue Today
Call [PHONE] or request service online. Our team will get your commercial appliance working again.
H2: Preparing for Your Patchogue Service Visit
A few simple steps help the technician work faster. Clear the area around your commercial appliance so there is room to work, note when the problem started and any error codes, and keep the model number handy. If the appliance is leaking, switch off its power and water supply where it is safe to do so. For apartment and condo buildings in Patchogue, let us know about parking, access or building rules in advance so your appointment runs smoothly.</t>
  </si>
  <si>
    <t xml:space="preserve">Commercial Appliance Repair Suffolk County -&gt; /commercial-appliance-repair/
Appliance Repair Patchogue -&gt; /appliance-repair-patchogue-ny/
Commercial Appliance Repair in Islip, NY -&gt; /commercial-appliance-repair/islip-ny/
Ice Maker Repair in Patchogue -&gt; /ice-maker-repair/patchogue-ny/
Freezer Repair in Patchogue -&gt; /freezer-repair/patchogue-ny/
Contact Us -&gt; /contact/</t>
  </si>
  <si>
    <t xml:space="preserve">Town of Brookhaven -&gt; https://www.brookhavenny.gov/
Suffolk County Department of Health Services -&gt; https://www.suffolkcountyny.gov/Departments/Health-Services</t>
  </si>
  <si>
    <t xml:space="preserve">Luxury Appliance Repair Huntington</t>
  </si>
  <si>
    <t xml:space="preserve">/luxury-appliance-repair/huntington-ny/</t>
  </si>
  <si>
    <t xml:space="preserve">Luxury Appliance Repair Huntington NY</t>
  </si>
  <si>
    <t xml:space="preserve">Luxury Appliance Repair Huntington, NY | Local Technicians</t>
  </si>
  <si>
    <t xml:space="preserve">Looking for luxury appliance repair in Huntington, NY? Local technicians fix high-end refrigeration and cooking faults. Upfront quotes. Call [PHONE].</t>
  </si>
  <si>
    <t xml:space="preserve">H1: Luxury Appliance Repair in Huntington, NY
Huntington blends a walkable historic village with established North Shore neighborhoods, many of them with older kitchens, finished basements and a mix of classic and high-end appliances. When your luxury appliance fails, you need a technician who understands local homes and gets the job done right the first time. [BUSINESS NAME] provides luxury appliance repair in Huntington and nearby neighborhoods, covering high-end refrigeration and cooking faults for homeowners, renters and property managers.
Premium kitchens across Huntington and Dix Hills often feature integrated refrigeration, professional-style ranges and built-in coffee systems. That is why Huntington residents often call us for luxury appliance problems before they turn into costly breakdowns. Call [PHONE] or book online and we will arrange an appointment at your Huntington address.
H2: Luxury Appliance Repair Throughout Huntington
Our technicians travel to homes and businesses across Huntington, including Huntington Village, Huntington Station, Greenlawn, Halesite, Cold Spring Harbor, Melville, South Huntington, and Dix Hills. Wherever you are located, we bring tools and common parts for most luxury appliance repairs to the first visit.
H2: Common Luxury Appliance Problems We Fix in Huntington
H3: Integrated refrigerator not cooling
Sealed-system, fan or control issues unique to built-in units.
H3: Professional range igniter failure
Worn igniters and spark modules.
H3: Control or display errors
Electronic boards or sensors requiring brand-specific diagnostics.
H3: Inconsistent oven temperature
A faulty sensor or convection fan.
H3: Water dispenser or ice faults
Valve, filter or module problems.
H3: Panel alignment or door issues
Hinges, gaskets and cabinetry fit.
H2: How Huntington Homeowners Can Get the Most From Their Luxury Appliance
- Follow the manufacturer's maintenance schedule.
- Use only recommended cleaners on stainless and glass.
- Keep ventilation openings clear.
- Service early to protect warranty coverage.
H2: Our Repair Process in Huntington
We use manufacturer-specified parts and procedures wherever available, protect your cabinetry and finishes and explain every step before work begins.
1. Call or book online and describe the problem with your luxury appliance.
2. We confirm your Huntington address and schedule an appointment window.
3. The technician diagnoses the fault and gives a firm quote.
4. With your approval, we repair and test the appliance.
5. You receive an invoice and warranty details: [INSERT WARRANTY].
H2: Brands We Service in Huntington
We repair luxury appliance models from Sub-Zero, Wolf, Viking, Thermador, Miele, Gaggenau, Bosch Benchmark, Jenn-Air, Dacor, Fisher &amp; Paykel, Cove, and Liebherr and more for customers in Huntington. If you are unsure about your model, send us the model number and we will confirm we can help.
H2: Repair or Replace? Advice for Huntington Residents
Because luxury appliances are costly, repair is frequently the best value, particularly for sealed-system, igniter and board faults.
H2: Why Huntington Customers Choose [BUSINESS NAME]
As a Suffolk County company, we know the area and the homes in it. We provide upfront quotes, treat your home with care and explain the problem clearly. Licensing and insurance: [INSERT DETAILS]. Customers in Huntington call us because we respect their time and their budget.
H2: Luxury Appliance Repair FAQs for Huntington
Q: Do you provide luxury appliance repair in Huntington?
A: Yes. We serve Huntington and nearby areas including Huntington Village, Huntington Station, Greenlawn, and Halesite. Contact us to confirm availability for your address.
Q: How soon can you come to Huntington for luxury appliance repair?
A: Availability varies by day. [INSERT YOUR SAME-DAY / NEXT-DAY POLICY]. We will offer the earliest window we have.
Q: How much does luxury appliance repair cost in Huntington?
A: We diagnose the issue first and give a written price before starting, so there are no surprises. [INSERT DIAGNOSTIC FEE POLICY].
Q: Do you repair Sub-Zero and Wolf appliances?
A: Yes, we service premium brands including Sub-Zero, Wolf, Viking, Thermador and Miele.
Q: Will repairs affect my warranty?
A: Check your warranty terms, and contact us if you are unsure which repairs are covered.
H2: Book Luxury Appliance Repair in Huntington Today
Call [PHONE] or request service online. Our team will get your luxury appliance working again.
H2: Preparing for Your Huntington Service Visit
A few simple steps help the technician work faster. Clear the area around your luxury appliance so there is room to work, note when the problem started and any error codes, and keep the model number handy. If the appliance is leaking, switch off its power and water supply where it is safe to do so. For apartment and condo buildings in Huntington, let us know about parking, access or building rules in advance so your appointment runs smoothly.</t>
  </si>
  <si>
    <t xml:space="preserve">Luxury Appliance Repair Suffolk County -&gt; /luxury-appliance-repair/
Appliance Repair Huntington -&gt; /appliance-repair-huntington-ny/
Luxury Appliance Repair in Smithtown, NY -&gt; /luxury-appliance-repair/smithtown-ny/
Wine Cooler Repair in Huntington -&gt; /wine-cooler-repair/huntington-ny/
Cooktop Repair in Huntington -&gt; /cooktop-repair/huntington-ny/
Contact Us -&gt; /contact/</t>
  </si>
  <si>
    <t xml:space="preserve">Town of Huntington -&gt; https://www.huntingtonny.gov/
Sub-Zero Wolf Cove official site -&gt; https://www.subzero-wolf.com/</t>
  </si>
  <si>
    <t xml:space="preserve">Luxury Appliance Repair Smithtown</t>
  </si>
  <si>
    <t xml:space="preserve">/luxury-appliance-repair/smithtown-ny/</t>
  </si>
  <si>
    <t xml:space="preserve">Luxury Appliance Repair Smithtown NY</t>
  </si>
  <si>
    <t xml:space="preserve">Luxury Appliance Repair Smithtown, NY | Local Technicians</t>
  </si>
  <si>
    <t xml:space="preserve">Looking for luxury appliance repair in Smithtown, NY? Local technicians fix high-end refrigeration and cooking faults. Upfront quotes. Call [PHONE].</t>
  </si>
  <si>
    <t xml:space="preserve">H1: Luxury Appliance Repair in Smithtown, NY
Smithtown is largely suburban, with family-sized homes, busy kitchens and households that run several appliances every single day. When your luxury appliance fails, you need a technician who understands local homes and gets the job done right the first time. [BUSINESS NAME] provides luxury appliance repair in Smithtown and nearby neighborhoods, covering high-end refrigeration and cooking faults for homeowners, renters and property managers.
Larger Smithtown homes with remodeled kitchens often include built-in and panel-ready appliances from premium brands. That is why Smithtown residents often call us for luxury appliance problems before they turn into costly breakdowns. Call [PHONE] or book online and we will arrange an appointment at your Smithtown address.
H2: Luxury Appliance Repair Throughout Smithtown
Our technicians travel to homes and businesses across Smithtown, including Smithtown, Kings Park, St. James, Nesconset, Hauppauge, Fort Salonga, and Head of the Harbor. Wherever you are located, we bring tools and common parts for most luxury appliance repairs to the first visit.
H2: Common Luxury Appliance Problems We Fix in Smithtown
H3: Integrated refrigerator not cooling
Sealed-system, fan or control issues unique to built-in units.
H3: Professional range igniter failure
Worn igniters and spark modules.
H3: Control or display errors
Electronic boards or sensors requiring brand-specific diagnostics.
H3: Inconsistent oven temperature
A faulty sensor or convection fan.
H3: Water dispenser or ice faults
Valve, filter or module problems.
H3: Panel alignment or door issues
Hinges, gaskets and cabinetry fit.
H2: How Smithtown Homeowners Can Get the Most From Their Luxury Appliance
- Follow the manufacturer's maintenance schedule.
- Use only recommended cleaners on stainless and glass.
- Keep ventilation openings clear.
- Service early to protect warranty coverage.
H2: Our Repair Process in Smithtown
We use manufacturer-specified parts and procedures wherever available, protect your cabinetry and finishes and explain every step before work begins.
1. Call or book online and describe the problem with your luxury appliance.
2. We confirm your Smithtown address and schedule an appointment window.
3. The technician diagnoses the fault and gives a firm quote.
4. With your approval, we repair and test the appliance.
5. You receive an invoice and warranty details: [INSERT WARRANTY].
H2: Brands We Service in Smithtown
We repair luxury appliance models from Sub-Zero, Wolf, Viking, Thermador, Miele, Gaggenau, Bosch Benchmark, Jenn-Air, Dacor, Fisher &amp; Paykel, Cove, and Liebherr and more for customers in Smithtown. If you are unsure about your model, send us the model number and we will confirm we can help.
H2: Repair or Replace? Advice for Smithtown Residents
Because luxury appliances are costly, repair is frequently the best value, particularly for sealed-system, igniter and board faults.
H2: Why Smithtown Customers Choose [BUSINESS NAME]
As a Suffolk County company, we know the area and the homes in it. We provide upfront quotes, treat your home with care and explain the problem clearly. Licensing and insurance: [INSERT DETAILS]. Customers in Smithtown call us because we respect their time and their budget.
H2: Luxury Appliance Repair FAQs for Smithtown
Q: Do you provide luxury appliance repair in Smithtown?
A: Yes. We serve Smithtown and nearby areas including Smithtown, Kings Park, St. James, and Nesconset. Contact us to confirm availability for your address.
Q: How soon can you come to Smithtown for luxury appliance repair?
A: Availability varies by day. [INSERT YOUR SAME-DAY / NEXT-DAY POLICY]. We will offer the earliest window we have.
Q: How much does luxury appliance repair cost in Smithtown?
A: We diagnose the issue first and give a written price before starting, so there are no surprises. [INSERT DIAGNOSTIC FEE POLICY].
Q: Do you repair Sub-Zero and Wolf appliances?
A: Yes, we service premium brands including Sub-Zero, Wolf, Viking, Thermador and Miele.
Q: Will repairs affect my warranty?
A: Check your warranty terms, and contact us if you are unsure which repairs are covered.
H2: Book Luxury Appliance Repair in Smithtown Today
Call [PHONE] or request service online. Our team will get your luxury appliance working again.
H2: Preparing for Your Smithtown Service Visit
A few simple steps help the technician work faster. Clear the area around your luxury appliance so there is room to work, note when the problem started and any error codes, and keep the model number handy. If the appliance is leaking, switch off its power and water supply where it is safe to do so. For apartment and condo buildings in Smithtown, let us know about parking, access or building rules in advance so your appointment runs smoothly.
H2: Other Appliance Repair Services in Smithtown
Often one appliance failing is a sign that others in the home are due for a check. In Smithtown we also repair wine cooler, cooktop, and refrigerator, along with every other appliance listed on our services page. Combining repairs in one visit can save you time.</t>
  </si>
  <si>
    <t xml:space="preserve">Luxury Appliance Repair Suffolk County -&gt; /luxury-appliance-repair/
Appliance Repair Smithtown -&gt; /appliance-repair-smithtown-ny/
Luxury Appliance Repair in Huntington, NY -&gt; /luxury-appliance-repair/huntington-ny/
Luxury Appliance Repair in Islip, NY -&gt; /luxury-appliance-repair/islip-ny/
Wine Cooler Repair in Smithtown -&gt; /wine-cooler-repair/smithtown-ny/
Cooktop Repair in Smithtown -&gt; /cooktop-repair/smithtown-ny/
Contact Us -&gt; /contact/</t>
  </si>
  <si>
    <t xml:space="preserve">Town of Smithtown -&gt; https://www.smithtownny.gov/
Sub-Zero Wolf Cove official site -&gt; https://www.subzero-wolf.com/</t>
  </si>
  <si>
    <t xml:space="preserve">Luxury Appliance Repair Islip</t>
  </si>
  <si>
    <t xml:space="preserve">/luxury-appliance-repair/islip-ny/</t>
  </si>
  <si>
    <t xml:space="preserve">Luxury Appliance Repair Islip NY</t>
  </si>
  <si>
    <t xml:space="preserve">Luxury Appliance Repair Islip, NY | Local Technicians</t>
  </si>
  <si>
    <t xml:space="preserve">Looking for luxury appliance repair in Islip, NY? Local technicians fix high-end refrigeration and cooking faults. Upfront quotes. Call [PHONE].</t>
  </si>
  <si>
    <t xml:space="preserve">H1: Luxury Appliance Repair in Islip, NY
Islip stretches across the South Shore, from waterfront communities near the Great South Bay to inland neighborhoods, with a wide mix of single-family homes, condos and rentals. When your luxury appliance fails, you need a technician who understands local homes and gets the job done right the first time. [BUSINESS NAME] provides luxury appliance repair in Islip and nearby neighborhoods, covering high-end refrigeration and cooking faults for homeowners, renters and property managers.
Waterfront and high-end homes in areas like Great River and Sayville often feature premium built-in appliances that need brand-aware service. That is why Islip residents often call us for luxury appliance problems before they turn into costly breakdowns. Call [PHONE] or book online and we will arrange an appointment at your Islip address.
H2: Luxury Appliance Repair Throughout Islip
Our technicians travel to homes and businesses across Islip, including Islip, East Islip, Islip Terrace, Bay Shore, Brentwood, Central Islip, Sayville, and Great River. Wherever you are located, we bring tools and common parts for most luxury appliance repairs to the first visit.
H2: Common Luxury Appliance Problems We Fix in Islip
H3: Integrated refrigerator not cooling
Sealed-system, fan or control issues unique to built-in units.
H3: Professional range igniter failure
Worn igniters and spark modules.
H3: Control or display errors
Electronic boards or sensors requiring brand-specific diagnostics.
H3: Inconsistent oven temperature
A faulty sensor or convection fan.
H3: Water dispenser or ice faults
Valve, filter or module problems.
H3: Panel alignment or door issues
Hinges, gaskets and cabinetry fit.
H2: How Islip Homeowners Can Get the Most From Their Luxury Appliance
- Follow the manufacturer's maintenance schedule.
- Use only recommended cleaners on stainless and glass.
- Keep ventilation openings clear.
- Service early to protect warranty coverage.
H2: Our Repair Process in Islip
We use manufacturer-specified parts and procedures wherever available, protect your cabinetry and finishes and explain every step before work begins.
1. Call or book online and describe the problem with your luxury appliance.
2. We confirm your Islip address and schedule an appointment window.
3. The technician diagnoses the fault and gives a firm quote.
4. With your approval, we repair and test the appliance.
5. You receive an invoice and warranty details: [INSERT WARRANTY].
H2: Brands We Service in Islip
We repair luxury appliance models from Sub-Zero, Wolf, Viking, Thermador, Miele, Gaggenau, Bosch Benchmark, Jenn-Air, Dacor, Fisher &amp; Paykel, Cove, and Liebherr and more for customers in Islip. If you are unsure about your model, send us the model number and we will confirm we can help.
H2: Repair or Replace? Advice for Islip Residents
Because luxury appliances are costly, repair is frequently the best value, particularly for sealed-system, igniter and board faults.
H2: Why Islip Customers Choose [BUSINESS NAME]
As a Suffolk County company, we know the area and the homes in it. We provide upfront quotes, treat your home with care and explain the problem clearly. Licensing and insurance: [INSERT DETAILS]. Customers in Islip call us because we respect their time and their budget.
H2: Luxury Appliance Repair FAQs for Islip
Q: Do you provide luxury appliance repair in Islip?
A: Yes. We serve Islip and nearby areas including Islip, East Islip, Islip Terrace, and Bay Shore. Contact us to confirm availability for your address.
Q: How soon can you come to Islip for luxury appliance repair?
A: Availability varies by day. [INSERT YOUR SAME-DAY / NEXT-DAY POLICY]. We will offer the earliest window we have.
Q: How much does luxury appliance repair cost in Islip?
A: We diagnose the issue first and give a written price before starting, so there are no surprises. [INSERT DIAGNOSTIC FEE POLICY].
Q: Do you repair Sub-Zero and Wolf appliances?
A: Yes, we service premium brands including Sub-Zero, Wolf, Viking, Thermador and Miele.
Q: Will repairs affect my warranty?
A: Check your warranty terms, and contact us if you are unsure which repairs are covered.
H2: Book Luxury Appliance Repair in Islip Today
Call [PHONE] or request service online. Our team will get your luxury appliance working again.
H2: Preparing for Your Islip Service Visit
A few simple steps help the technician work faster. Clear the area around your luxury appliance so there is room to work, note when the problem started and any error codes, and keep the model number handy. If the appliance is leaking, switch off its power and water supply where it is safe to do so. For apartment and condo buildings in Islip, let us know about parking, access or building rules in advance so your appointment runs smoothly.</t>
  </si>
  <si>
    <t xml:space="preserve">Luxury Appliance Repair Suffolk County -&gt; /luxury-appliance-repair/
Appliance Repair Islip -&gt; /appliance-repair-islip-ny/
Luxury Appliance Repair in Babylon, NY -&gt; /luxury-appliance-repair/babylon-ny/
Luxury Appliance Repair in Patchogue, NY -&gt; /luxury-appliance-repair/patchogue-ny/
Wine Cooler Repair in Islip -&gt; /wine-cooler-repair/islip-ny/
Cooktop Repair in Islip -&gt; /cooktop-repair/islip-ny/
Contact Us -&gt; /contact/</t>
  </si>
  <si>
    <t xml:space="preserve">Town of Islip -&gt; https://www.islipny.gov/
Sub-Zero Wolf Cove official site -&gt; https://www.subzero-wolf.com/</t>
  </si>
  <si>
    <t xml:space="preserve">Luxury Appliance Repair Babylon</t>
  </si>
  <si>
    <t xml:space="preserve">/luxury-appliance-repair/babylon-ny/</t>
  </si>
  <si>
    <t xml:space="preserve">Luxury Appliance Repair Babylon NY</t>
  </si>
  <si>
    <t xml:space="preserve">Luxury Appliance Repair Babylon, NY | Local Technicians</t>
  </si>
  <si>
    <t xml:space="preserve">Looking for luxury appliance repair in Babylon, NY? Local technicians fix high-end refrigeration and cooking faults. Upfront quotes. Call [PHONE].</t>
  </si>
  <si>
    <t xml:space="preserve">H1: Luxury Appliance Repair in Babylon, NY
The Town of Babylon covers busy South Shore villages and hamlets with a large share of well-kept single-family homes, plus apartments and rental units. When your luxury appliance fails, you need a technician who understands local homes and gets the job done right the first time. [BUSINESS NAME] provides luxury appliance repair in Babylon and nearby neighborhoods, covering high-end refrigeration and cooking faults for homeowners, renters and property managers.
Renovated South Shore kitchens increasingly include premium and built-in appliances that call for careful, brand-specific repair. That is why Babylon residents often call us for luxury appliance problems before they turn into costly breakdowns. Call [PHONE] or book online and we will arrange an appointment at your Babylon address.
H2: Luxury Appliance Repair Throughout Babylon
Our technicians travel to homes and businesses across Babylon, including Babylon Village, Lindenhurst, Copiague, West Babylon, North Babylon, Deer Park, and Wyandanch. Wherever you are located, we bring tools and common parts for most luxury appliance repairs to the first visit.
H2: Common Luxury Appliance Problems We Fix in Babylon
H3: Integrated refrigerator not cooling
Sealed-system, fan or control issues unique to built-in units.
H3: Professional range igniter failure
Worn igniters and spark modules.
H3: Control or display errors
Electronic boards or sensors requiring brand-specific diagnostics.
H3: Inconsistent oven temperature
A faulty sensor or convection fan.
H3: Water dispenser or ice faults
Valve, filter or module problems.
H3: Panel alignment or door issues
Hinges, gaskets and cabinetry fit.
H2: How Babylon Homeowners Can Get the Most From Their Luxury Appliance
- Follow the manufacturer's maintenance schedule.
- Use only recommended cleaners on stainless and glass.
- Keep ventilation openings clear.
- Service early to protect warranty coverage.
H2: Our Repair Process in Babylon
We use manufacturer-specified parts and procedures wherever available, protect your cabinetry and finishes and explain every step before work begins.
1. Call or book online and describe the problem with your luxury appliance.
2. We confirm your Babylon address and schedule an appointment window.
3. The technician diagnoses the fault and gives a firm quote.
4. With your approval, we repair and test the appliance.
5. You receive an invoice and warranty details: [INSERT WARRANTY].
H2: Brands We Service in Babylon
We repair luxury appliance models from Sub-Zero, Wolf, Viking, Thermador, Miele, Gaggenau, Bosch Benchmark, Jenn-Air, Dacor, Fisher &amp; Paykel, Cove, and Liebherr and more for customers in Babylon. If you are unsure about your model, send us the model number and we will confirm we can help.
H2: Repair or Replace? Advice for Babylon Residents
Because luxury appliances are costly, repair is frequently the best value, particularly for sealed-system, igniter and board faults.
H2: Why Babylon Customers Choose [BUSINESS NAME]
As a Suffolk County company, we know the area and the homes in it. We provide upfront quotes, treat your home with care and explain the problem clearly. Licensing and insurance: [INSERT DETAILS]. Customers in Babylon call us because we respect their time and their budget.
H2: Luxury Appliance Repair FAQs for Babylon
Q: Do you provide luxury appliance repair in Babylon?
A: Yes. We serve Babylon and nearby areas including Babylon Village, Lindenhurst, Copiague, and West Babylon. Contact us to confirm availability for your address.
Q: How soon can you come to Babylon for luxury appliance repair?
A: Availability varies by day. [INSERT YOUR SAME-DAY / NEXT-DAY POLICY]. We will offer the earliest window we have.
Q: How much does luxury appliance repair cost in Babylon?
A: We diagnose the issue first and give a written price before starting, so there are no surprises. [INSERT DIAGNOSTIC FEE POLICY].
Q: Do you repair Sub-Zero and Wolf appliances?
A: Yes, we service premium brands including Sub-Zero, Wolf, Viking, Thermador and Miele.
Q: Will repairs affect my warranty?
A: Check your warranty terms, and contact us if you are unsure which repairs are covered.
H2: Book Luxury Appliance Repair in Babylon Today
Call [PHONE] or request service online. Our team will get your luxury appliance working again.
H2: Preparing for Your Babylon Service Visit
A few simple steps help the technician work faster. Clear the area around your luxury appliance so there is room to work, note when the problem started and any error codes, and keep the model number handy. If the appliance is leaking, switch off its power and water supply where it is safe to do so. For apartment and condo buildings in Babylon, let us know about parking, access or building rules in advance so your appointment runs smoothly.</t>
  </si>
  <si>
    <t xml:space="preserve">Luxury Appliance Repair Suffolk County -&gt; /luxury-appliance-repair/
Appliance Repair Babylon -&gt; /appliance-repair-babylon-ny/
Luxury Appliance Repair in Islip, NY -&gt; /luxury-appliance-repair/islip-ny/
Wine Cooler Repair in Babylon -&gt; /wine-cooler-repair/babylon-ny/
Cooktop Repair in Babylon -&gt; /cooktop-repair/babylon-ny/
Contact Us -&gt; /contact/</t>
  </si>
  <si>
    <t xml:space="preserve">Town of Babylon -&gt; https://www.townofbabylon.com/
Sub-Zero Wolf Cove official site -&gt; https://www.subzero-wolf.com/</t>
  </si>
  <si>
    <t xml:space="preserve">Luxury Appliance Repair Patchogue</t>
  </si>
  <si>
    <t xml:space="preserve">/luxury-appliance-repair/patchogue-ny/</t>
  </si>
  <si>
    <t xml:space="preserve">Luxury Appliance Repair Patchogue NY</t>
  </si>
  <si>
    <t xml:space="preserve">Luxury Appliance Repair Patchogue, NY | Local Technicians</t>
  </si>
  <si>
    <t xml:space="preserve">Looking for luxury appliance repair in Patchogue, NY? Local technicians fix high-end refrigeration and cooking faults. Upfront quotes. Call [PHONE].</t>
  </si>
  <si>
    <t xml:space="preserve">H1: Luxury Appliance Repair in Patchogue, NY
Patchogue is a lively waterfront village with a walkable downtown, surrounded by neighborhoods of single-family homes, condos and apartments. When your luxury appliance fails, you need a technician who understands local homes and gets the job done right the first time. [BUSINESS NAME] provides luxury appliance repair in Patchogue and nearby neighborhoods, covering high-end refrigeration and cooking faults for homeowners, renters and property managers.
Waterfront condos and renovated homes around Patchogue and Bellport often include upgraded, built-in kitchen appliances. That is why Patchogue residents often call us for luxury appliance problems before they turn into costly breakdowns. Call [PHONE] or book online and we will arrange an appointment at your Patchogue address.
H2: Luxury Appliance Repair Throughout Patchogue
Our technicians travel to homes and businesses across Patchogue, including Patchogue Village, East Patchogue, North Patchogue, Blue Point, Bellport, Medford, and Holbrook. Wherever you are located, we bring tools and common parts for most luxury appliance repairs to the first visit.
H2: Common Luxury Appliance Problems We Fix in Patchogue
H3: Integrated refrigerator not cooling
Sealed-system, fan or control issues unique to built-in units.
H3: Professional range igniter failure
Worn igniters and spark modules.
H3: Control or display errors
Electronic boards or sensors requiring brand-specific diagnostics.
H3: Inconsistent oven temperature
A faulty sensor or convection fan.
H3: Water dispenser or ice faults
Valve, filter or module problems.
H3: Panel alignment or door issues
Hinges, gaskets and cabinetry fit.
H2: How Patchogue Homeowners Can Get the Most From Their Luxury Appliance
- Follow the manufacturer's maintenance schedule.
- Use only recommended cleaners on stainless and glass.
- Keep ventilation openings clear.
- Service early to protect warranty coverage.
H2: Our Repair Process in Patchogue
We use manufacturer-specified parts and procedures wherever available, protect your cabinetry and finishes and explain every step before work begins.
1. Call or book online and describe the problem with your luxury appliance.
2. We confirm your Patchogue address and schedule an appointment window.
3. The technician diagnoses the fault and gives a firm quote.
4. With your approval, we repair and test the appliance.
5. You receive an invoice and warranty details: [INSERT WARRANTY].
H2: Brands We Service in Patchogue
We repair luxury appliance models from Sub-Zero, Wolf, Viking, Thermador, Miele, Gaggenau, Bosch Benchmark, Jenn-Air, Dacor, Fisher &amp; Paykel, Cove, and Liebherr and more for customers in Patchogue. If you are unsure about your model, send us the model number and we will confirm we can help.
H2: Repair or Replace? Advice for Patchogue Residents
Because luxury appliances are costly, repair is frequently the best value, particularly for sealed-system, igniter and board faults.
H2: Why Patchogue Customers Choose [BUSINESS NAME]
As a Suffolk County company, we know the area and the homes in it. We provide upfront quotes, treat your home with care and explain the problem clearly. Licensing and insurance: [INSERT DETAILS]. Customers in Patchogue call us because we respect their time and their budget.
H2: Luxury Appliance Repair FAQs for Patchogue
Q: Do you provide luxury appliance repair in Patchogue?
A: Yes. We serve Patchogue and nearby areas including Patchogue Village, East Patchogue, North Patchogue, and Blue Point. Contact us to confirm availability for your address.
Q: How soon can you come to Patchogue for luxury appliance repair?
A: Availability varies by day. [INSERT YOUR SAME-DAY / NEXT-DAY POLICY]. We will offer the earliest window we have.
Q: How much does luxury appliance repair cost in Patchogue?
A: We diagnose the issue first and give a written price before starting, so there are no surprises. [INSERT DIAGNOSTIC FEE POLICY].
Q: Do you repair Sub-Zero and Wolf appliances?
A: Yes, we service premium brands including Sub-Zero, Wolf, Viking, Thermador and Miele.
Q: Will repairs affect my warranty?
A: Check your warranty terms, and contact us if you are unsure which repairs are covered.
H2: Book Luxury Appliance Repair in Patchogue Today
Call [PHONE] or request service online. Our team will get your luxury appliance working again.
H2: Preparing for Your Patchogue Service Visit
A few simple steps help the technician work faster. Clear the area around your luxury appliance so there is room to work, note when the problem started and any error codes, and keep the model number handy. If the appliance is leaking, switch off its power and water supply where it is safe to do so. For apartment and condo buildings in Patchogue, let us know about parking, access or building rules in advance so your appointment runs smoothly.
H2: Other Appliance Repair Services in Patchogue
Often one appliance failing is a sign that others in the home are due for a check. In Patchogue we also repair wine cooler, cooktop, and refrigerator, along with every other appliance listed on our services page. Combining repairs in one visit can save you time.</t>
  </si>
  <si>
    <t xml:space="preserve">Luxury Appliance Repair Suffolk County -&gt; /luxury-appliance-repair/
Appliance Repair Patchogue -&gt; /appliance-repair-patchogue-ny/
Luxury Appliance Repair in Islip, NY -&gt; /luxury-appliance-repair/islip-ny/
Wine Cooler Repair in Patchogue -&gt; /wine-cooler-repair/patchogue-ny/
Cooktop Repair in Patchogue -&gt; /cooktop-repair/patchogue-ny/
Contact Us -&gt; /contact/</t>
  </si>
  <si>
    <t xml:space="preserve">Town of Brookhaven -&gt; https://www.brookhavenny.gov/
Sub-Zero Wolf Cove official site -&gt; https://www.subzero-wolf.com/</t>
  </si>
  <si>
    <t xml:space="preserve">Source Page</t>
  </si>
  <si>
    <t xml:space="preserve">Anchor Text</t>
  </si>
  <si>
    <t xml:space="preserve">Target</t>
  </si>
  <si>
    <t xml:space="preserve">Link Type</t>
  </si>
  <si>
    <t xml:space="preserve">Internal</t>
  </si>
  <si>
    <t xml:space="preserve">All Appliance Repair Services</t>
  </si>
  <si>
    <t xml:space="preserve">ENERGY STAR certified products</t>
  </si>
  <si>
    <t xml:space="preserve">https://www.energystar.gov/products</t>
  </si>
  <si>
    <t xml:space="preserve">External</t>
  </si>
  <si>
    <t xml:space="preserve">Refrigerator Repair in Huntington, NY</t>
  </si>
  <si>
    <t xml:space="preserve">Refrigerator Repair in Smithtown, NY</t>
  </si>
  <si>
    <t xml:space="preserve">Refrigerator Repair in Islip, NY</t>
  </si>
  <si>
    <t xml:space="preserve">Refrigerator Repair in Babylon, NY</t>
  </si>
  <si>
    <t xml:space="preserve">Refrigerator Repair in Patchogue, NY</t>
  </si>
  <si>
    <t xml:space="preserve">FoodSafety.gov refrigerator and freezer guidance</t>
  </si>
  <si>
    <t xml:space="preserve">https://www.foodsafety.gov/</t>
  </si>
  <si>
    <t xml:space="preserve">Freezer Repair in Huntington, NY</t>
  </si>
  <si>
    <t xml:space="preserve">Freezer Repair in Smithtown, NY</t>
  </si>
  <si>
    <t xml:space="preserve">Freezer Repair in Islip, NY</t>
  </si>
  <si>
    <t xml:space="preserve">Freezer Repair in Babylon, NY</t>
  </si>
  <si>
    <t xml:space="preserve">Freezer Repair in Patchogue, NY</t>
  </si>
  <si>
    <t xml:space="preserve">Washing Machine Repair in Huntington, NY</t>
  </si>
  <si>
    <t xml:space="preserve">Washing Machine Repair in Smithtown, NY</t>
  </si>
  <si>
    <t xml:space="preserve">Washing Machine Repair in Islip, NY</t>
  </si>
  <si>
    <t xml:space="preserve">Washing Machine Repair in Babylon, NY</t>
  </si>
  <si>
    <t xml:space="preserve">Washing Machine Repair in Patchogue, NY</t>
  </si>
  <si>
    <t xml:space="preserve">U.S. Consumer Product Safety Commission</t>
  </si>
  <si>
    <t xml:space="preserve">https://www.cpsc.gov/</t>
  </si>
  <si>
    <t xml:space="preserve">Dryer Repair in Huntington, NY</t>
  </si>
  <si>
    <t xml:space="preserve">Dryer Repair in Smithtown, NY</t>
  </si>
  <si>
    <t xml:space="preserve">Dryer Repair in Islip, NY</t>
  </si>
  <si>
    <t xml:space="preserve">Dryer Repair in Babylon, NY</t>
  </si>
  <si>
    <t xml:space="preserve">Dryer Repair in Patchogue, NY</t>
  </si>
  <si>
    <t xml:space="preserve">Dishwasher Repair in Huntington, NY</t>
  </si>
  <si>
    <t xml:space="preserve">Dishwasher Repair in Smithtown, NY</t>
  </si>
  <si>
    <t xml:space="preserve">Dishwasher Repair in Islip, NY</t>
  </si>
  <si>
    <t xml:space="preserve">Dishwasher Repair in Babylon, NY</t>
  </si>
  <si>
    <t xml:space="preserve">Dishwasher Repair in Patchogue, NY</t>
  </si>
  <si>
    <t xml:space="preserve">EPA WaterSense water-efficiency program</t>
  </si>
  <si>
    <t xml:space="preserve">https://www.epa.gov/watersense</t>
  </si>
  <si>
    <t xml:space="preserve">Oven Repair in Huntington, NY</t>
  </si>
  <si>
    <t xml:space="preserve">Oven Repair in Smithtown, NY</t>
  </si>
  <si>
    <t xml:space="preserve">Oven Repair in Islip, NY</t>
  </si>
  <si>
    <t xml:space="preserve">Oven Repair in Babylon, NY</t>
  </si>
  <si>
    <t xml:space="preserve">Oven Repair in Patchogue, NY</t>
  </si>
  <si>
    <t xml:space="preserve">NFPA cooking safety guidance</t>
  </si>
  <si>
    <t xml:space="preserve">https://www.nfpa.org/education-and-research/home-fire-safety/cooking</t>
  </si>
  <si>
    <t xml:space="preserve">Stove &amp; Range Repair in Huntington, NY</t>
  </si>
  <si>
    <t xml:space="preserve">Stove &amp; Range Repair in Smithtown, NY</t>
  </si>
  <si>
    <t xml:space="preserve">Stove &amp; Range Repair in Islip, NY</t>
  </si>
  <si>
    <t xml:space="preserve">Stove &amp; Range Repair in Babylon, NY</t>
  </si>
  <si>
    <t xml:space="preserve">Stove &amp; Range Repair in Patchogue, NY</t>
  </si>
  <si>
    <t xml:space="preserve">Cooktop Repair in Huntington, NY</t>
  </si>
  <si>
    <t xml:space="preserve">Cooktop Repair in Smithtown, NY</t>
  </si>
  <si>
    <t xml:space="preserve">Cooktop Repair in Islip, NY</t>
  </si>
  <si>
    <t xml:space="preserve">Cooktop Repair in Babylon, NY</t>
  </si>
  <si>
    <t xml:space="preserve">Cooktop Repair in Patchogue, NY</t>
  </si>
  <si>
    <t xml:space="preserve">Microwave Repair in Huntington, NY</t>
  </si>
  <si>
    <t xml:space="preserve">Microwave Repair in Smithtown, NY</t>
  </si>
  <si>
    <t xml:space="preserve">Microwave Repair in Islip, NY</t>
  </si>
  <si>
    <t xml:space="preserve">Microwave Repair in Babylon, NY</t>
  </si>
  <si>
    <t xml:space="preserve">Microwave Repair in Patchogue, NY</t>
  </si>
  <si>
    <t xml:space="preserve">Ice Maker Repair in Huntington, NY</t>
  </si>
  <si>
    <t xml:space="preserve">Ice Maker Repair in Smithtown, NY</t>
  </si>
  <si>
    <t xml:space="preserve">Ice Maker Repair in Islip, NY</t>
  </si>
  <si>
    <t xml:space="preserve">Ice Maker Repair in Babylon, NY</t>
  </si>
  <si>
    <t xml:space="preserve">Ice Maker Repair in Patchogue, NY</t>
  </si>
  <si>
    <t xml:space="preserve">Wine Cooler Repair in Huntington, NY</t>
  </si>
  <si>
    <t xml:space="preserve">Wine Cooler Repair in Smithtown, NY</t>
  </si>
  <si>
    <t xml:space="preserve">Wine Cooler Repair in Islip, NY</t>
  </si>
  <si>
    <t xml:space="preserve">Wine Cooler Repair in Babylon, NY</t>
  </si>
  <si>
    <t xml:space="preserve">Wine Cooler Repair in Patchogue, NY</t>
  </si>
  <si>
    <t xml:space="preserve">Garbage Disposal Repair in Huntington, NY</t>
  </si>
  <si>
    <t xml:space="preserve">Garbage Disposal Repair in Smithtown, NY</t>
  </si>
  <si>
    <t xml:space="preserve">Garbage Disposal Repair in Islip, NY</t>
  </si>
  <si>
    <t xml:space="preserve">Garbage Disposal Repair in Babylon, NY</t>
  </si>
  <si>
    <t xml:space="preserve">Garbage Disposal Repair in Patchogue, NY</t>
  </si>
  <si>
    <t xml:space="preserve">Commercial Appliance Repair in Huntington, NY</t>
  </si>
  <si>
    <t xml:space="preserve">Commercial Appliance Repair in Smithtown, NY</t>
  </si>
  <si>
    <t xml:space="preserve">Commercial Appliance Repair in Islip, NY</t>
  </si>
  <si>
    <t xml:space="preserve">Commercial Appliance Repair in Babylon, NY</t>
  </si>
  <si>
    <t xml:space="preserve">Commercial Appliance Repair in Patchogue, NY</t>
  </si>
  <si>
    <t xml:space="preserve">Suffolk County Department of Health Services</t>
  </si>
  <si>
    <t xml:space="preserve">https://www.suffolkcountyny.gov/Departments/Health-Services</t>
  </si>
  <si>
    <t xml:space="preserve">Luxury Appliance Repair in Huntington, NY</t>
  </si>
  <si>
    <t xml:space="preserve">Luxury Appliance Repair in Smithtown, NY</t>
  </si>
  <si>
    <t xml:space="preserve">Luxury Appliance Repair in Islip, NY</t>
  </si>
  <si>
    <t xml:space="preserve">Luxury Appliance Repair in Babylon, NY</t>
  </si>
  <si>
    <t xml:space="preserve">Luxury Appliance Repair in Patchogue, NY</t>
  </si>
  <si>
    <t xml:space="preserve">Sub-Zero Wolf Cove official site</t>
  </si>
  <si>
    <t xml:space="preserve">https://www.subzero-wolf.com/</t>
  </si>
  <si>
    <t xml:space="preserve">Refrigerator Repair in Huntington</t>
  </si>
  <si>
    <t xml:space="preserve">Freezer Repair in Huntington</t>
  </si>
  <si>
    <t xml:space="preserve">Washing Machine Repair in Huntington</t>
  </si>
  <si>
    <t xml:space="preserve">Dryer Repair in Huntington</t>
  </si>
  <si>
    <t xml:space="preserve">Dishwasher Repair in Huntington</t>
  </si>
  <si>
    <t xml:space="preserve">Oven Repair in Huntington</t>
  </si>
  <si>
    <t xml:space="preserve">Stove &amp; Range Repair in Huntington</t>
  </si>
  <si>
    <t xml:space="preserve">Cooktop Repair in Huntington</t>
  </si>
  <si>
    <t xml:space="preserve">Microwave Repair in Huntington</t>
  </si>
  <si>
    <t xml:space="preserve">Ice Maker Repair in Huntington</t>
  </si>
  <si>
    <t xml:space="preserve">Wine Cooler Repair in Huntington</t>
  </si>
  <si>
    <t xml:space="preserve">Garbage Disposal Repair in Huntington</t>
  </si>
  <si>
    <t xml:space="preserve">Commercial Appliance Repair in Huntington</t>
  </si>
  <si>
    <t xml:space="preserve">Luxury Appliance Repair in Huntington</t>
  </si>
  <si>
    <t xml:space="preserve">Town of Huntington</t>
  </si>
  <si>
    <t xml:space="preserve">https://www.huntingtonny.gov/</t>
  </si>
  <si>
    <t xml:space="preserve">Refrigerator Repair in Smithtown</t>
  </si>
  <si>
    <t xml:space="preserve">Freezer Repair in Smithtown</t>
  </si>
  <si>
    <t xml:space="preserve">Washing Machine Repair in Smithtown</t>
  </si>
  <si>
    <t xml:space="preserve">Dryer Repair in Smithtown</t>
  </si>
  <si>
    <t xml:space="preserve">Dishwasher Repair in Smithtown</t>
  </si>
  <si>
    <t xml:space="preserve">Oven Repair in Smithtown</t>
  </si>
  <si>
    <t xml:space="preserve">Stove &amp; Range Repair in Smithtown</t>
  </si>
  <si>
    <t xml:space="preserve">Cooktop Repair in Smithtown</t>
  </si>
  <si>
    <t xml:space="preserve">Microwave Repair in Smithtown</t>
  </si>
  <si>
    <t xml:space="preserve">Ice Maker Repair in Smithtown</t>
  </si>
  <si>
    <t xml:space="preserve">Wine Cooler Repair in Smithtown</t>
  </si>
  <si>
    <t xml:space="preserve">Garbage Disposal Repair in Smithtown</t>
  </si>
  <si>
    <t xml:space="preserve">Commercial Appliance Repair in Smithtown</t>
  </si>
  <si>
    <t xml:space="preserve">Luxury Appliance Repair in Smithtown</t>
  </si>
  <si>
    <t xml:space="preserve">Town of Smithtown</t>
  </si>
  <si>
    <t xml:space="preserve">https://www.smithtownny.gov/</t>
  </si>
  <si>
    <t xml:space="preserve">Refrigerator Repair in Islip</t>
  </si>
  <si>
    <t xml:space="preserve">Freezer Repair in Islip</t>
  </si>
  <si>
    <t xml:space="preserve">Washing Machine Repair in Islip</t>
  </si>
  <si>
    <t xml:space="preserve">Dryer Repair in Islip</t>
  </si>
  <si>
    <t xml:space="preserve">Dishwasher Repair in Islip</t>
  </si>
  <si>
    <t xml:space="preserve">Oven Repair in Islip</t>
  </si>
  <si>
    <t xml:space="preserve">Stove &amp; Range Repair in Islip</t>
  </si>
  <si>
    <t xml:space="preserve">Cooktop Repair in Islip</t>
  </si>
  <si>
    <t xml:space="preserve">Microwave Repair in Islip</t>
  </si>
  <si>
    <t xml:space="preserve">Ice Maker Repair in Islip</t>
  </si>
  <si>
    <t xml:space="preserve">Wine Cooler Repair in Islip</t>
  </si>
  <si>
    <t xml:space="preserve">Garbage Disposal Repair in Islip</t>
  </si>
  <si>
    <t xml:space="preserve">Commercial Appliance Repair in Islip</t>
  </si>
  <si>
    <t xml:space="preserve">Luxury Appliance Repair in Islip</t>
  </si>
  <si>
    <t xml:space="preserve">Town of Islip</t>
  </si>
  <si>
    <t xml:space="preserve">https://www.islipny.gov/</t>
  </si>
  <si>
    <t xml:space="preserve">Refrigerator Repair in Babylon</t>
  </si>
  <si>
    <t xml:space="preserve">Freezer Repair in Babylon</t>
  </si>
  <si>
    <t xml:space="preserve">Washing Machine Repair in Babylon</t>
  </si>
  <si>
    <t xml:space="preserve">Dryer Repair in Babylon</t>
  </si>
  <si>
    <t xml:space="preserve">Dishwasher Repair in Babylon</t>
  </si>
  <si>
    <t xml:space="preserve">Oven Repair in Babylon</t>
  </si>
  <si>
    <t xml:space="preserve">Stove &amp; Range Repair in Babylon</t>
  </si>
  <si>
    <t xml:space="preserve">Cooktop Repair in Babylon</t>
  </si>
  <si>
    <t xml:space="preserve">Microwave Repair in Babylon</t>
  </si>
  <si>
    <t xml:space="preserve">Ice Maker Repair in Babylon</t>
  </si>
  <si>
    <t xml:space="preserve">Wine Cooler Repair in Babylon</t>
  </si>
  <si>
    <t xml:space="preserve">Garbage Disposal Repair in Babylon</t>
  </si>
  <si>
    <t xml:space="preserve">Commercial Appliance Repair in Babylon</t>
  </si>
  <si>
    <t xml:space="preserve">Luxury Appliance Repair in Babylon</t>
  </si>
  <si>
    <t xml:space="preserve">Town of Babylon</t>
  </si>
  <si>
    <t xml:space="preserve">https://www.townofbabylon.com/</t>
  </si>
  <si>
    <t xml:space="preserve">Refrigerator Repair in Patchogue</t>
  </si>
  <si>
    <t xml:space="preserve">Freezer Repair in Patchogue</t>
  </si>
  <si>
    <t xml:space="preserve">Washing Machine Repair in Patchogue</t>
  </si>
  <si>
    <t xml:space="preserve">Dryer Repair in Patchogue</t>
  </si>
  <si>
    <t xml:space="preserve">Dishwasher Repair in Patchogue</t>
  </si>
  <si>
    <t xml:space="preserve">Oven Repair in Patchogue</t>
  </si>
  <si>
    <t xml:space="preserve">Stove &amp; Range Repair in Patchogue</t>
  </si>
  <si>
    <t xml:space="preserve">Cooktop Repair in Patchogue</t>
  </si>
  <si>
    <t xml:space="preserve">Microwave Repair in Patchogue</t>
  </si>
  <si>
    <t xml:space="preserve">Ice Maker Repair in Patchogue</t>
  </si>
  <si>
    <t xml:space="preserve">Wine Cooler Repair in Patchogue</t>
  </si>
  <si>
    <t xml:space="preserve">Garbage Disposal Repair in Patchogue</t>
  </si>
  <si>
    <t xml:space="preserve">Commercial Appliance Repair in Patchogue</t>
  </si>
  <si>
    <t xml:space="preserve">Luxury Appliance Repair in Patchogue</t>
  </si>
  <si>
    <t xml:space="preserve">Town of Brookhaven</t>
  </si>
  <si>
    <t xml:space="preserve">https://www.brookhavenny.gov/</t>
  </si>
  <si>
    <t xml:space="preserve">Refrigerator Repair Suffolk County</t>
  </si>
  <si>
    <t xml:space="preserve">Freezer Repair Suffolk County</t>
  </si>
  <si>
    <t xml:space="preserve">Washing Machine Repair Suffolk County</t>
  </si>
  <si>
    <t xml:space="preserve">Dryer Repair Suffolk County</t>
  </si>
  <si>
    <t xml:space="preserve">Dishwasher Repair Suffolk County</t>
  </si>
  <si>
    <t xml:space="preserve">Oven Repair Suffolk County</t>
  </si>
  <si>
    <t xml:space="preserve">Stove &amp; Range Repair Suffolk County</t>
  </si>
  <si>
    <t xml:space="preserve">Cooktop Repair Suffolk County</t>
  </si>
  <si>
    <t xml:space="preserve">Microwave Repair Suffolk County</t>
  </si>
  <si>
    <t xml:space="preserve">Ice Maker Repair Suffolk County</t>
  </si>
  <si>
    <t xml:space="preserve">Wine Cooler Repair Suffolk County</t>
  </si>
  <si>
    <t xml:space="preserve">Garbage Disposal Repair Suffolk County</t>
  </si>
  <si>
    <t xml:space="preserve">Commercial Appliance Repair Suffolk County</t>
  </si>
  <si>
    <t xml:space="preserve">Luxury Appliance Repair Suffolk County</t>
  </si>
  <si>
    <t xml:space="preserve">Article Title</t>
  </si>
  <si>
    <t xml:space="preserve">Link To (service page)</t>
  </si>
  <si>
    <t xml:space="preserve">Also Link To (town pages)</t>
  </si>
  <si>
    <t xml:space="preserve">Why Your Refrigerator Is Not Cooling: 7 Common Causes</t>
  </si>
  <si>
    <t xml:space="preserve">refrigerator not cooling</t>
  </si>
  <si>
    <t xml:space="preserve">/refrigerator-repair/huntington-ny/, /refrigerator-repair/smithtown-ny/</t>
  </si>
  <si>
    <t xml:space="preserve">Why Is My Freezer Frosting Up? Causes and Fixes</t>
  </si>
  <si>
    <t xml:space="preserve">freezer frost buildup</t>
  </si>
  <si>
    <t xml:space="preserve">/freezer-repair/huntington-ny/, /freezer-repair/smithtown-ny/</t>
  </si>
  <si>
    <t xml:space="preserve">Washing Machine Not Draining? Check These Things First</t>
  </si>
  <si>
    <t xml:space="preserve">washer not draining</t>
  </si>
  <si>
    <t xml:space="preserve">/washer-repair/huntington-ny/, /washer-repair/smithtown-ny/</t>
  </si>
  <si>
    <t xml:space="preserve">Why a Dryer Takes Too Long to Dry (and When It Is a Fire Risk)</t>
  </si>
  <si>
    <t xml:space="preserve">dryer takes too long to dry</t>
  </si>
  <si>
    <t xml:space="preserve">/dryer-repair/huntington-ny/, /dryer-repair/smithtown-ny/</t>
  </si>
  <si>
    <t xml:space="preserve">Dishwasher Not Cleaning Dishes? Common Causes</t>
  </si>
  <si>
    <t xml:space="preserve">dishwasher not cleaning</t>
  </si>
  <si>
    <t xml:space="preserve">/dishwasher-repair/huntington-ny/, /dishwasher-repair/smithtown-ny/</t>
  </si>
  <si>
    <t xml:space="preserve">Oven Not Heating Evenly: What Technicians Check</t>
  </si>
  <si>
    <t xml:space="preserve">oven not heating evenly</t>
  </si>
  <si>
    <t xml:space="preserve">/oven-repair/huntington-ny/, /oven-repair/smithtown-ny/</t>
  </si>
  <si>
    <t xml:space="preserve">Gas Stove Burner Clicking or Won't Light: Causes</t>
  </si>
  <si>
    <t xml:space="preserve">gas stove won't light</t>
  </si>
  <si>
    <t xml:space="preserve">/stove-range-repair/huntington-ny/, /stove-range-repair/smithtown-ny/</t>
  </si>
  <si>
    <t xml:space="preserve">Induction vs Radiant vs Gas Cooktops: Repair Considerations</t>
  </si>
  <si>
    <t xml:space="preserve">cooktop repair</t>
  </si>
  <si>
    <t xml:space="preserve">/cooktop-repair/huntington-ny/, /cooktop-repair/smithtown-ny/</t>
  </si>
  <si>
    <t xml:space="preserve">Microwave Sparking: Is It Safe to Keep Using?</t>
  </si>
  <si>
    <t xml:space="preserve">microwave sparking</t>
  </si>
  <si>
    <t xml:space="preserve">/microwave-repair/huntington-ny/, /microwave-repair/smithtown-ny/</t>
  </si>
  <si>
    <t xml:space="preserve">Refrigerator Ice Maker Not Working: Troubleshooting Guide</t>
  </si>
  <si>
    <t xml:space="preserve">ice maker not working</t>
  </si>
  <si>
    <t xml:space="preserve">/ice-maker-repair/huntington-ny/, /ice-maker-repair/smithtown-ny/</t>
  </si>
  <si>
    <t xml:space="preserve">How to Protect a Wine Collection When Your Wine Cooler Fails</t>
  </si>
  <si>
    <t xml:space="preserve">wine cooler not cooling</t>
  </si>
  <si>
    <t xml:space="preserve">/wine-cooler-repair/huntington-ny/, /wine-cooler-repair/smithtown-ny/</t>
  </si>
  <si>
    <t xml:space="preserve">Garbage Disposal Humming but Not Spinning: What to Do</t>
  </si>
  <si>
    <t xml:space="preserve">garbage disposal humming</t>
  </si>
  <si>
    <t xml:space="preserve">/garbage-disposal-repair/huntington-ny/, /garbage-disposal-repair/smithtown-ny/</t>
  </si>
  <si>
    <t xml:space="preserve">Restaurant Equipment Maintenance Checklist for Long Island Kitchens</t>
  </si>
  <si>
    <t xml:space="preserve">commercial refrigeration maintenance</t>
  </si>
  <si>
    <t xml:space="preserve">/commercial-appliance-repair/huntington-ny/, /commercial-appliance-repair/smithtown-ny/</t>
  </si>
  <si>
    <t xml:space="preserve">Is It Worth Repairing a High-End Appliance?</t>
  </si>
  <si>
    <t xml:space="preserve">repair or replace luxury appliance</t>
  </si>
  <si>
    <t xml:space="preserve">/luxury-appliance-repair/huntington-ny/, /luxury-appliance-repair/smithtown-ny/</t>
  </si>
</sst>
</file>

<file path=xl/styles.xml><?xml version="1.0" encoding="utf-8"?>
<styleSheet xmlns="http://schemas.openxmlformats.org/spreadsheetml/2006/main">
  <numFmts count="2">
    <numFmt numFmtId="164" formatCode="General"/>
    <numFmt numFmtId="165" formatCode="General"/>
  </numFmts>
  <fonts count="11">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sz val="10"/>
      <name val="Arial"/>
      <family val="0"/>
      <charset val="1"/>
    </font>
    <font>
      <b val="true"/>
      <sz val="10"/>
      <name val="Arial"/>
      <family val="0"/>
      <charset val="1"/>
    </font>
    <font>
      <b val="true"/>
      <sz val="12"/>
      <name val="Arial"/>
      <family val="0"/>
      <charset val="1"/>
    </font>
    <font>
      <b val="true"/>
      <sz val="10"/>
      <color rgb="FFFFFFFF"/>
      <name val="Arial"/>
      <family val="0"/>
      <charset val="1"/>
    </font>
    <font>
      <sz val="9"/>
      <name val="Arial"/>
      <family val="0"/>
      <charset val="1"/>
    </font>
    <font>
      <sz val="9"/>
      <color rgb="FF0000FF"/>
      <name val="Arial"/>
      <family val="0"/>
      <charset val="1"/>
    </font>
  </fonts>
  <fills count="9">
    <fill>
      <patternFill patternType="none"/>
    </fill>
    <fill>
      <patternFill patternType="gray125"/>
    </fill>
    <fill>
      <patternFill patternType="solid">
        <fgColor rgb="FF1F3864"/>
        <bgColor rgb="FF333333"/>
      </patternFill>
    </fill>
    <fill>
      <patternFill patternType="solid">
        <fgColor rgb="FFDDEBF7"/>
        <bgColor rgb="FFEDEDED"/>
      </patternFill>
    </fill>
    <fill>
      <patternFill patternType="solid">
        <fgColor rgb="FFE2EFDA"/>
        <bgColor rgb="FFEDEDED"/>
      </patternFill>
    </fill>
    <fill>
      <patternFill patternType="solid">
        <fgColor rgb="FFFFF2CC"/>
        <bgColor rgb="FFFCE4D6"/>
      </patternFill>
    </fill>
    <fill>
      <patternFill patternType="solid">
        <fgColor rgb="FFFCE4D6"/>
        <bgColor rgb="FFFFF2CC"/>
      </patternFill>
    </fill>
    <fill>
      <patternFill patternType="solid">
        <fgColor rgb="FFEDEDED"/>
        <bgColor rgb="FFE2EFDA"/>
      </patternFill>
    </fill>
    <fill>
      <patternFill patternType="solid">
        <fgColor rgb="FFFFFFFF"/>
        <bgColor rgb="FFEDEDED"/>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2"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8" fillId="2" borderId="1" xfId="0" applyFont="true" applyBorder="true" applyAlignment="true" applyProtection="false">
      <alignment horizontal="center" vertical="center" textRotation="0" wrapText="true" indent="0" shrinkToFit="false"/>
      <protection locked="true" hidden="false"/>
    </xf>
    <xf numFmtId="164" fontId="9" fillId="0" borderId="1" xfId="0" applyFont="true" applyBorder="true" applyAlignment="true" applyProtection="false">
      <alignment horizontal="general" vertical="top" textRotation="0" wrapText="false" indent="0" shrinkToFit="false"/>
      <protection locked="true" hidden="false"/>
    </xf>
    <xf numFmtId="164" fontId="9" fillId="3" borderId="1" xfId="0" applyFont="true" applyBorder="true" applyAlignment="true" applyProtection="false">
      <alignment horizontal="general" vertical="top" textRotation="0" wrapText="tru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5" fontId="9" fillId="0" borderId="1" xfId="0" applyFont="true" applyBorder="true" applyAlignment="true" applyProtection="false">
      <alignment horizontal="general" vertical="top" textRotation="0" wrapText="false" indent="0" shrinkToFit="false"/>
      <protection locked="true" hidden="false"/>
    </xf>
    <xf numFmtId="164" fontId="10" fillId="0" borderId="1" xfId="0" applyFont="true" applyBorder="true" applyAlignment="true" applyProtection="false">
      <alignment horizontal="general" vertical="top" textRotation="0" wrapText="false" indent="0" shrinkToFit="false"/>
      <protection locked="true" hidden="false"/>
    </xf>
    <xf numFmtId="164" fontId="9" fillId="4" borderId="1" xfId="0" applyFont="true" applyBorder="true" applyAlignment="true" applyProtection="false">
      <alignment horizontal="general" vertical="top" textRotation="0" wrapText="true" indent="0" shrinkToFit="false"/>
      <protection locked="true" hidden="false"/>
    </xf>
    <xf numFmtId="164" fontId="9" fillId="5" borderId="1" xfId="0" applyFont="true" applyBorder="true" applyAlignment="true" applyProtection="false">
      <alignment horizontal="general" vertical="top" textRotation="0" wrapText="true" indent="0" shrinkToFit="false"/>
      <protection locked="true" hidden="false"/>
    </xf>
    <xf numFmtId="164" fontId="9" fillId="6" borderId="1" xfId="0" applyFont="true" applyBorder="true" applyAlignment="true" applyProtection="false">
      <alignment horizontal="general" vertical="top" textRotation="0" wrapText="true" indent="0" shrinkToFit="false"/>
      <protection locked="true" hidden="false"/>
    </xf>
    <xf numFmtId="164" fontId="9" fillId="7" borderId="1" xfId="0" applyFont="true" applyBorder="true" applyAlignment="true" applyProtection="false">
      <alignment horizontal="general" vertical="top" textRotation="0" wrapText="true" indent="0" shrinkToFit="false"/>
      <protection locked="true" hidden="false"/>
    </xf>
    <xf numFmtId="164" fontId="9" fillId="8" borderId="1" xfId="0" applyFont="true" applyBorder="true" applyAlignment="true" applyProtection="false">
      <alignment horizontal="general" vertical="top" textRotation="0" wrapText="true" indent="0" shrinkToFit="false"/>
      <protection locked="true" hidden="false"/>
    </xf>
    <xf numFmtId="164" fontId="8" fillId="2" borderId="1"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2">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DDEBF7"/>
          <bgColor rgb="FF000000"/>
        </patternFill>
      </fill>
    </dxf>
    <dxf>
      <fill>
        <patternFill patternType="solid">
          <fgColor rgb="FFE2EFDA"/>
          <bgColor rgb="FF000000"/>
        </patternFill>
      </fill>
    </dxf>
    <dxf>
      <fill>
        <patternFill patternType="solid">
          <fgColor rgb="FFEDEDED"/>
          <bgColor rgb="FF000000"/>
        </patternFill>
      </fill>
    </dxf>
    <dxf>
      <fill>
        <patternFill patternType="solid">
          <fgColor rgb="FFFCE4D6"/>
          <bgColor rgb="FF000000"/>
        </patternFill>
      </fill>
    </dxf>
    <dxf>
      <fill>
        <patternFill patternType="solid">
          <fgColor rgb="FFFFF2CC"/>
          <bgColor rgb="FF000000"/>
        </patternFill>
      </fill>
    </dxf>
    <dxf>
      <fill>
        <patternFill patternType="solid">
          <fgColor rgb="FF0000FF"/>
          <bgColor rgb="FF000000"/>
        </patternFill>
      </fill>
    </dxf>
    <dxf>
      <fill>
        <patternFill patternType="solid">
          <fgColor rgb="FFC6EFCE"/>
          <bgColor rgb="FF000000"/>
        </patternFill>
      </fill>
    </dxf>
    <dxf>
      <fill>
        <patternFill>
          <bgColor rgb="FFF8CBAD"/>
        </patternFill>
      </fill>
    </dxf>
    <dxf>
      <fill>
        <patternFill>
          <bgColor rgb="FFC6EFCE"/>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DDEBF7"/>
      <rgbColor rgb="FF660066"/>
      <rgbColor rgb="FFFF8080"/>
      <rgbColor rgb="FF0066CC"/>
      <rgbColor rgb="FFEDEDED"/>
      <rgbColor rgb="FF000080"/>
      <rgbColor rgb="FFFF00FF"/>
      <rgbColor rgb="FFFFFF00"/>
      <rgbColor rgb="FF00FFFF"/>
      <rgbColor rgb="FF800080"/>
      <rgbColor rgb="FF800000"/>
      <rgbColor rgb="FF008080"/>
      <rgbColor rgb="FF0000FF"/>
      <rgbColor rgb="FF00CCFF"/>
      <rgbColor rgb="FFE2EFDA"/>
      <rgbColor rgb="FFC6EFCE"/>
      <rgbColor rgb="FFFCE4D6"/>
      <rgbColor rgb="FF99CCFF"/>
      <rgbColor rgb="FFFF99CC"/>
      <rgbColor rgb="FFCC99FF"/>
      <rgbColor rgb="FFF8CBAD"/>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30"/>
  </cols>
  <sheetData>
    <row r="1" customFormat="false" ht="17.35" hidden="false" customHeight="false" outlineLevel="0" collapsed="false">
      <c r="A1" s="1" t="s">
        <v>0</v>
      </c>
    </row>
    <row r="2" customFormat="false" ht="30" hidden="false" customHeight="true" outlineLevel="0" collapsed="false">
      <c r="A2" s="2" t="s">
        <v>1</v>
      </c>
    </row>
    <row r="3" customFormat="false" ht="15" hidden="false" customHeight="false" outlineLevel="0" collapsed="false">
      <c r="A3" s="2"/>
    </row>
    <row r="4" customFormat="false" ht="15" hidden="false" customHeight="false" outlineLevel="0" collapsed="false">
      <c r="A4" s="3" t="s">
        <v>2</v>
      </c>
    </row>
    <row r="5" customFormat="false" ht="15" hidden="false" customHeight="false" outlineLevel="0" collapsed="false">
      <c r="A5" s="2" t="s">
        <v>3</v>
      </c>
    </row>
    <row r="6" customFormat="false" ht="15" hidden="false" customHeight="false" outlineLevel="0" collapsed="false">
      <c r="A6" s="2" t="s">
        <v>4</v>
      </c>
    </row>
    <row r="7" customFormat="false" ht="15" hidden="false" customHeight="false" outlineLevel="0" collapsed="false">
      <c r="A7" s="2" t="s">
        <v>5</v>
      </c>
    </row>
    <row r="8" customFormat="false" ht="15" hidden="false" customHeight="false" outlineLevel="0" collapsed="false">
      <c r="A8" s="2" t="s">
        <v>6</v>
      </c>
    </row>
    <row r="9" customFormat="false" ht="15" hidden="false" customHeight="false" outlineLevel="0" collapsed="false">
      <c r="A9" s="2"/>
    </row>
    <row r="10" customFormat="false" ht="15" hidden="false" customHeight="false" outlineLevel="0" collapsed="false">
      <c r="A10" s="3" t="s">
        <v>7</v>
      </c>
    </row>
    <row r="11" customFormat="false" ht="15" hidden="false" customHeight="false" outlineLevel="0" collapsed="false">
      <c r="A11" s="2" t="s">
        <v>8</v>
      </c>
    </row>
    <row r="12" customFormat="false" ht="30" hidden="false" customHeight="true" outlineLevel="0" collapsed="false">
      <c r="A12" s="2" t="s">
        <v>9</v>
      </c>
    </row>
    <row r="13" customFormat="false" ht="15" hidden="false" customHeight="false" outlineLevel="0" collapsed="false">
      <c r="A13" s="2"/>
    </row>
    <row r="14" customFormat="false" ht="15" hidden="false" customHeight="false" outlineLevel="0" collapsed="false">
      <c r="A14" s="3" t="s">
        <v>10</v>
      </c>
    </row>
    <row r="15" customFormat="false" ht="45" hidden="false" customHeight="true" outlineLevel="0" collapsed="false">
      <c r="A15" s="2" t="s">
        <v>11</v>
      </c>
    </row>
    <row r="16" customFormat="false" ht="15" hidden="false" customHeight="false" outlineLevel="0" collapsed="false">
      <c r="A16" s="2"/>
    </row>
    <row r="17" customFormat="false" ht="15" hidden="false" customHeight="false" outlineLevel="0" collapsed="false">
      <c r="A17" s="3" t="s">
        <v>12</v>
      </c>
    </row>
    <row r="18" customFormat="false" ht="30" hidden="false" customHeight="true" outlineLevel="0" collapsed="false">
      <c r="A18" s="2" t="s">
        <v>13</v>
      </c>
    </row>
    <row r="19" customFormat="false" ht="45" hidden="false" customHeight="true" outlineLevel="0" collapsed="false">
      <c r="A19" s="2" t="s">
        <v>14</v>
      </c>
    </row>
    <row r="20" customFormat="false" ht="15" hidden="false" customHeight="false" outlineLevel="0" collapsed="false">
      <c r="A20" s="2" t="s">
        <v>15</v>
      </c>
    </row>
    <row r="21" customFormat="false" ht="15" hidden="false" customHeight="false" outlineLevel="0" collapsed="false">
      <c r="A21" s="2" t="s">
        <v>16</v>
      </c>
    </row>
    <row r="22" customFormat="false" ht="30" hidden="false" customHeight="true" outlineLevel="0" collapsed="false">
      <c r="A22" s="2" t="s">
        <v>17</v>
      </c>
    </row>
    <row r="23" customFormat="false" ht="30" hidden="false" customHeight="true" outlineLevel="0" collapsed="false">
      <c r="A23" s="2" t="s">
        <v>18</v>
      </c>
    </row>
    <row r="24" customFormat="false" ht="30" hidden="false" customHeight="true" outlineLevel="0" collapsed="false">
      <c r="A24" s="2" t="s">
        <v>19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10"/>
    <col collapsed="false" customWidth="true" hidden="false" outlineLevel="0" max="3" min="3" style="0" width="14"/>
    <col collapsed="false" customWidth="true" hidden="false" outlineLevel="0" max="4" min="4" style="0" width="12"/>
    <col collapsed="false" customWidth="true" hidden="false" outlineLevel="0" max="5" min="5" style="0" width="24"/>
  </cols>
  <sheetData>
    <row r="1" customFormat="false" ht="15" hidden="false" customHeight="false" outlineLevel="0" collapsed="false">
      <c r="A1" s="4" t="s">
        <v>20</v>
      </c>
    </row>
    <row r="3" customFormat="false" ht="15" hidden="false" customHeight="false" outlineLevel="0" collapsed="false">
      <c r="A3" s="5" t="s">
        <v>21</v>
      </c>
      <c r="B3" s="5" t="s">
        <v>22</v>
      </c>
      <c r="C3" s="5" t="s">
        <v>23</v>
      </c>
      <c r="D3" s="5" t="s">
        <v>24</v>
      </c>
      <c r="E3" s="5" t="s">
        <v>25</v>
      </c>
    </row>
    <row r="4" customFormat="false" ht="15" hidden="false" customHeight="false" outlineLevel="0" collapsed="false">
      <c r="A4" s="6" t="s">
        <v>26</v>
      </c>
      <c r="B4" s="6" t="n">
        <f aca="false">COUNTIF('SEO Silo'!$B$2:$B$99,A4)</f>
        <v>5</v>
      </c>
      <c r="C4" s="6" t="n">
        <f aca="false">SUMIF('SEO Silo'!$B$2:$B$99,A4,'SEO Silo'!$M$2:$M$99)</f>
        <v>3702</v>
      </c>
      <c r="D4" s="6" t="n">
        <f aca="false">IF(B4=0,0,ROUND(C4/B4,0))</f>
        <v>740</v>
      </c>
      <c r="E4" s="6" t="n">
        <f aca="false">COUNTIFS('SEO Silo'!$B$2:$B$99,A4,'SEO Silo'!$N$2:$N$99,"OK")</f>
        <v>5</v>
      </c>
    </row>
    <row r="5" customFormat="false" ht="15" hidden="false" customHeight="false" outlineLevel="0" collapsed="false">
      <c r="A5" s="6" t="s">
        <v>27</v>
      </c>
      <c r="B5" s="6" t="n">
        <f aca="false">COUNTIF('SEO Silo'!$B$2:$B$99,A5)</f>
        <v>8</v>
      </c>
      <c r="C5" s="6" t="n">
        <f aca="false">SUMIF('SEO Silo'!$B$2:$B$99,A5,'SEO Silo'!$M$2:$M$99)</f>
        <v>7937</v>
      </c>
      <c r="D5" s="6" t="n">
        <f aca="false">IF(B5=0,0,ROUND(C5/B5,0))</f>
        <v>992</v>
      </c>
      <c r="E5" s="6" t="n">
        <f aca="false">COUNTIFS('SEO Silo'!$B$2:$B$99,A5,'SEO Silo'!$N$2:$N$99,"OK")</f>
        <v>8</v>
      </c>
    </row>
    <row r="6" customFormat="false" ht="15" hidden="false" customHeight="false" outlineLevel="0" collapsed="false">
      <c r="A6" s="6" t="s">
        <v>28</v>
      </c>
      <c r="B6" s="6" t="n">
        <f aca="false">COUNTIF('SEO Silo'!$B$2:$B$99,A6)</f>
        <v>6</v>
      </c>
      <c r="C6" s="6" t="n">
        <f aca="false">SUMIF('SEO Silo'!$B$2:$B$99,A6,'SEO Silo'!$M$2:$M$99)</f>
        <v>5411</v>
      </c>
      <c r="D6" s="6" t="n">
        <f aca="false">IF(B6=0,0,ROUND(C6/B6,0))</f>
        <v>902</v>
      </c>
      <c r="E6" s="6" t="n">
        <f aca="false">COUNTIFS('SEO Silo'!$B$2:$B$99,A6,'SEO Silo'!$N$2:$N$99,"OK")</f>
        <v>6</v>
      </c>
    </row>
    <row r="7" customFormat="false" ht="15" hidden="false" customHeight="false" outlineLevel="0" collapsed="false">
      <c r="A7" s="6" t="s">
        <v>29</v>
      </c>
      <c r="B7" s="6" t="n">
        <f aca="false">COUNTIF('SEO Silo'!$B$2:$B$99,A7)</f>
        <v>5</v>
      </c>
      <c r="C7" s="6" t="n">
        <f aca="false">SUMIF('SEO Silo'!$B$2:$B$99,A7,'SEO Silo'!$M$2:$M$99)</f>
        <v>4242</v>
      </c>
      <c r="D7" s="6" t="n">
        <f aca="false">IF(B7=0,0,ROUND(C7/B7,0))</f>
        <v>848</v>
      </c>
      <c r="E7" s="6" t="n">
        <f aca="false">COUNTIFS('SEO Silo'!$B$2:$B$99,A7,'SEO Silo'!$N$2:$N$99,"OK")</f>
        <v>5</v>
      </c>
    </row>
    <row r="8" customFormat="false" ht="15" hidden="false" customHeight="false" outlineLevel="0" collapsed="false">
      <c r="A8" s="6" t="s">
        <v>30</v>
      </c>
      <c r="B8" s="6" t="n">
        <f aca="false">COUNTIF('SEO Silo'!$B$2:$B$99,A8)</f>
        <v>4</v>
      </c>
      <c r="C8" s="6" t="n">
        <f aca="false">SUMIF('SEO Silo'!$B$2:$B$99,A8,'SEO Silo'!$M$2:$M$99)</f>
        <v>1557</v>
      </c>
      <c r="D8" s="6" t="n">
        <f aca="false">IF(B8=0,0,ROUND(C8/B8,0))</f>
        <v>389</v>
      </c>
      <c r="E8" s="6" t="n">
        <f aca="false">COUNTIFS('SEO Silo'!$B$2:$B$99,A8,'SEO Silo'!$N$2:$N$99,"OK")</f>
        <v>4</v>
      </c>
    </row>
    <row r="9" customFormat="false" ht="15" hidden="false" customHeight="false" outlineLevel="0" collapsed="false">
      <c r="A9" s="6" t="s">
        <v>31</v>
      </c>
      <c r="B9" s="6" t="n">
        <f aca="false">COUNTIF('SEO Silo'!$B$2:$B$99,A9)</f>
        <v>70</v>
      </c>
      <c r="C9" s="6" t="n">
        <f aca="false">SUMIF('SEO Silo'!$B$2:$B$99,A9,'SEO Silo'!$M$2:$M$99)</f>
        <v>57262</v>
      </c>
      <c r="D9" s="6" t="n">
        <f aca="false">IF(B9=0,0,ROUND(C9/B9,0))</f>
        <v>818</v>
      </c>
      <c r="E9" s="6" t="n">
        <f aca="false">COUNTIFS('SEO Silo'!$B$2:$B$99,A9,'SEO Silo'!$N$2:$N$99,"OK")</f>
        <v>70</v>
      </c>
    </row>
    <row r="10" customFormat="false" ht="15" hidden="false" customHeight="false" outlineLevel="0" collapsed="false">
      <c r="A10" s="7" t="s">
        <v>32</v>
      </c>
      <c r="B10" s="7" t="n">
        <f aca="false">SUM(B4:B9)</f>
        <v>98</v>
      </c>
      <c r="C10" s="7" t="n">
        <f aca="false">SUM(C4:C9)</f>
        <v>80111</v>
      </c>
      <c r="D10" s="7" t="n">
        <f aca="false">IF(B10=0,0,ROUND(C10/B10,0))</f>
        <v>817</v>
      </c>
      <c r="E10" s="7" t="n">
        <f aca="false">SUM(E4:E9)</f>
        <v>98</v>
      </c>
    </row>
    <row r="12" customFormat="false" ht="15" hidden="false" customHeight="false" outlineLevel="0" collapsed="false">
      <c r="A12" s="6" t="s">
        <v>33</v>
      </c>
      <c r="B12" s="6" t="n">
        <f aca="false">COUNTIF('Link Map'!$D$2:$D$987,"Internal")</f>
        <v>805</v>
      </c>
    </row>
    <row r="13" customFormat="false" ht="15" hidden="false" customHeight="false" outlineLevel="0" collapsed="false">
      <c r="A13" s="6" t="s">
        <v>34</v>
      </c>
      <c r="B13" s="6" t="n">
        <f aca="false">COUNTIF('Link Map'!$D$2:$D$987,"External")</f>
        <v>181</v>
      </c>
    </row>
    <row r="14" customFormat="false" ht="15" hidden="false" customHeight="false" outlineLevel="0" collapsed="false">
      <c r="A14" s="6" t="s">
        <v>35</v>
      </c>
      <c r="B14" s="6" t="n">
        <f aca="false">COUNTIF('SEO Silo'!$H$2:$H$99,"&gt;60")</f>
        <v>0</v>
      </c>
    </row>
    <row r="15" customFormat="false" ht="15" hidden="false" customHeight="false" outlineLevel="0" collapsed="false">
      <c r="A15" s="6" t="s">
        <v>36</v>
      </c>
      <c r="B15" s="6" t="n">
        <f aca="false">COUNTIF('SEO Silo'!$J$2:$J$99,"&gt;155")</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9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5" ySplit="1" topLeftCell="F2" activePane="bottomRight" state="frozen"/>
      <selection pane="topLeft" activeCell="A1" activeCellId="0" sqref="A1"/>
      <selection pane="topRight" activeCell="F1" activeCellId="0" sqref="F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16"/>
    <col collapsed="false" customWidth="true" hidden="false" outlineLevel="0" max="3" min="3" style="0" width="22"/>
    <col collapsed="false" customWidth="true" hidden="false" outlineLevel="0" max="4" min="4" style="0" width="30"/>
    <col collapsed="false" customWidth="true" hidden="false" outlineLevel="0" max="5" min="5" style="0" width="36"/>
    <col collapsed="false" customWidth="true" hidden="false" outlineLevel="0" max="6" min="6" style="0" width="32"/>
    <col collapsed="false" customWidth="true" hidden="false" outlineLevel="0" max="7" min="7" style="0" width="40"/>
    <col collapsed="false" customWidth="true" hidden="false" outlineLevel="0" max="8" min="8" style="0" width="8"/>
    <col collapsed="false" customWidth="true" hidden="false" outlineLevel="0" max="9" min="9" style="0" width="60"/>
    <col collapsed="false" customWidth="true" hidden="false" outlineLevel="0" max="12" min="10" style="0" width="8"/>
    <col collapsed="false" customWidth="true" hidden="false" outlineLevel="0" max="13" min="13" style="0" width="9"/>
    <col collapsed="false" customWidth="true" hidden="false" outlineLevel="0" max="14" min="14" style="0" width="10"/>
    <col collapsed="false" customWidth="true" hidden="false" outlineLevel="0" max="15" min="15" style="0" width="90"/>
    <col collapsed="false" customWidth="true" hidden="false" outlineLevel="0" max="16" min="16" style="0" width="50"/>
    <col collapsed="false" customWidth="true" hidden="false" outlineLevel="0" max="17" min="17" style="0" width="9"/>
    <col collapsed="false" customWidth="true" hidden="false" outlineLevel="0" max="18" min="18" style="0" width="50"/>
    <col collapsed="false" customWidth="true" hidden="false" outlineLevel="0" max="19" min="19" style="0" width="24"/>
    <col collapsed="false" customWidth="true" hidden="false" outlineLevel="0" max="20" min="20" style="0" width="12"/>
  </cols>
  <sheetData>
    <row r="1" customFormat="false" ht="31.5" hidden="false" customHeight="true" outlineLevel="0" collapsed="false">
      <c r="A1" s="8" t="s">
        <v>37</v>
      </c>
      <c r="B1" s="8" t="s">
        <v>21</v>
      </c>
      <c r="C1" s="8" t="s">
        <v>38</v>
      </c>
      <c r="D1" s="8" t="s">
        <v>39</v>
      </c>
      <c r="E1" s="8" t="s">
        <v>40</v>
      </c>
      <c r="F1" s="8" t="s">
        <v>41</v>
      </c>
      <c r="G1" s="8" t="s">
        <v>42</v>
      </c>
      <c r="H1" s="8" t="s">
        <v>43</v>
      </c>
      <c r="I1" s="8" t="s">
        <v>44</v>
      </c>
      <c r="J1" s="8" t="s">
        <v>45</v>
      </c>
      <c r="K1" s="8" t="s">
        <v>46</v>
      </c>
      <c r="L1" s="8" t="s">
        <v>47</v>
      </c>
      <c r="M1" s="8" t="s">
        <v>48</v>
      </c>
      <c r="N1" s="8" t="s">
        <v>49</v>
      </c>
      <c r="O1" s="8" t="s">
        <v>50</v>
      </c>
      <c r="P1" s="8" t="s">
        <v>51</v>
      </c>
      <c r="Q1" s="8" t="s">
        <v>52</v>
      </c>
      <c r="R1" s="8" t="s">
        <v>53</v>
      </c>
      <c r="S1" s="8" t="s">
        <v>54</v>
      </c>
      <c r="T1" s="8" t="s">
        <v>55</v>
      </c>
    </row>
    <row r="2" customFormat="false" ht="90" hidden="false" customHeight="true" outlineLevel="0" collapsed="false">
      <c r="A2" s="9" t="n">
        <v>1</v>
      </c>
      <c r="B2" s="10" t="s">
        <v>26</v>
      </c>
      <c r="C2" s="10" t="s">
        <v>56</v>
      </c>
      <c r="D2" s="11" t="s">
        <v>56</v>
      </c>
      <c r="E2" s="11" t="s">
        <v>57</v>
      </c>
      <c r="F2" s="11" t="s">
        <v>58</v>
      </c>
      <c r="G2" s="11" t="s">
        <v>59</v>
      </c>
      <c r="H2" s="12" t="n">
        <f aca="false">LEN(G2)</f>
        <v>53</v>
      </c>
      <c r="I2" s="11" t="s">
        <v>60</v>
      </c>
      <c r="J2" s="12" t="n">
        <f aca="false">LEN(I2)</f>
        <v>136</v>
      </c>
      <c r="K2" s="13" t="n">
        <v>1500</v>
      </c>
      <c r="L2" s="13" t="n">
        <v>2000</v>
      </c>
      <c r="M2" s="13" t="n">
        <v>1565</v>
      </c>
      <c r="N2" s="9" t="str">
        <f aca="false">IF(AND(M2&gt;=K2,M2&lt;=L2),"OK","Check")</f>
        <v>OK</v>
      </c>
      <c r="O2" s="11" t="s">
        <v>61</v>
      </c>
      <c r="P2" s="11" t="s">
        <v>62</v>
      </c>
      <c r="Q2" s="9" t="n">
        <f aca="false">LEN(P2)-LEN(SUBSTITUTE(P2,CHAR(10),""))+1</f>
        <v>17</v>
      </c>
      <c r="R2" s="11" t="s">
        <v>63</v>
      </c>
      <c r="S2" s="11" t="s">
        <v>64</v>
      </c>
      <c r="T2" s="13" t="s">
        <v>65</v>
      </c>
    </row>
    <row r="3" customFormat="false" ht="90" hidden="false" customHeight="true" outlineLevel="0" collapsed="false">
      <c r="A3" s="9" t="n">
        <v>2</v>
      </c>
      <c r="B3" s="10" t="s">
        <v>26</v>
      </c>
      <c r="C3" s="10" t="s">
        <v>66</v>
      </c>
      <c r="D3" s="11" t="s">
        <v>67</v>
      </c>
      <c r="E3" s="11" t="s">
        <v>68</v>
      </c>
      <c r="F3" s="11" t="s">
        <v>69</v>
      </c>
      <c r="G3" s="11" t="s">
        <v>70</v>
      </c>
      <c r="H3" s="12" t="n">
        <f aca="false">LEN(G3)</f>
        <v>44</v>
      </c>
      <c r="I3" s="11" t="s">
        <v>71</v>
      </c>
      <c r="J3" s="12" t="n">
        <f aca="false">LEN(I3)</f>
        <v>134</v>
      </c>
      <c r="K3" s="13" t="n">
        <v>800</v>
      </c>
      <c r="L3" s="13" t="n">
        <v>1200</v>
      </c>
      <c r="M3" s="13" t="n">
        <v>821</v>
      </c>
      <c r="N3" s="9" t="str">
        <f aca="false">IF(AND(M3&gt;=K3,M3&lt;=L3),"OK","Check")</f>
        <v>OK</v>
      </c>
      <c r="O3" s="11" t="s">
        <v>72</v>
      </c>
      <c r="P3" s="11" t="s">
        <v>73</v>
      </c>
      <c r="Q3" s="9" t="n">
        <f aca="false">LEN(P3)-LEN(SUBSTITUTE(P3,CHAR(10),""))+1</f>
        <v>21</v>
      </c>
      <c r="R3" s="11" t="s">
        <v>74</v>
      </c>
      <c r="S3" s="11" t="s">
        <v>75</v>
      </c>
      <c r="T3" s="13" t="s">
        <v>65</v>
      </c>
    </row>
    <row r="4" customFormat="false" ht="90" hidden="false" customHeight="true" outlineLevel="0" collapsed="false">
      <c r="A4" s="9" t="n">
        <v>3</v>
      </c>
      <c r="B4" s="10" t="s">
        <v>26</v>
      </c>
      <c r="C4" s="10" t="s">
        <v>76</v>
      </c>
      <c r="D4" s="11" t="s">
        <v>77</v>
      </c>
      <c r="E4" s="11" t="s">
        <v>78</v>
      </c>
      <c r="F4" s="11" t="s">
        <v>79</v>
      </c>
      <c r="G4" s="11" t="s">
        <v>80</v>
      </c>
      <c r="H4" s="12" t="n">
        <f aca="false">LEN(G4)</f>
        <v>50</v>
      </c>
      <c r="I4" s="11" t="s">
        <v>81</v>
      </c>
      <c r="J4" s="12" t="n">
        <f aca="false">LEN(I4)</f>
        <v>124</v>
      </c>
      <c r="K4" s="13" t="n">
        <v>300</v>
      </c>
      <c r="L4" s="13" t="n">
        <v>900</v>
      </c>
      <c r="M4" s="13" t="n">
        <v>438</v>
      </c>
      <c r="N4" s="9" t="str">
        <f aca="false">IF(AND(M4&gt;=K4,M4&lt;=L4),"OK","Check")</f>
        <v>OK</v>
      </c>
      <c r="O4" s="11" t="s">
        <v>82</v>
      </c>
      <c r="P4" s="11" t="s">
        <v>83</v>
      </c>
      <c r="Q4" s="9" t="n">
        <f aca="false">LEN(P4)-LEN(SUBSTITUTE(P4,CHAR(10),""))+1</f>
        <v>4</v>
      </c>
      <c r="R4" s="11" t="s">
        <v>74</v>
      </c>
      <c r="S4" s="11" t="s">
        <v>84</v>
      </c>
      <c r="T4" s="13" t="s">
        <v>65</v>
      </c>
    </row>
    <row r="5" customFormat="false" ht="90" hidden="false" customHeight="true" outlineLevel="0" collapsed="false">
      <c r="A5" s="9" t="n">
        <v>4</v>
      </c>
      <c r="B5" s="10" t="s">
        <v>26</v>
      </c>
      <c r="C5" s="10" t="s">
        <v>76</v>
      </c>
      <c r="D5" s="11" t="s">
        <v>85</v>
      </c>
      <c r="E5" s="11" t="s">
        <v>86</v>
      </c>
      <c r="F5" s="11" t="s">
        <v>87</v>
      </c>
      <c r="G5" s="11" t="s">
        <v>88</v>
      </c>
      <c r="H5" s="12" t="n">
        <f aca="false">LEN(G5)</f>
        <v>45</v>
      </c>
      <c r="I5" s="11" t="s">
        <v>89</v>
      </c>
      <c r="J5" s="12" t="n">
        <f aca="false">LEN(I5)</f>
        <v>137</v>
      </c>
      <c r="K5" s="13" t="n">
        <v>300</v>
      </c>
      <c r="L5" s="13" t="n">
        <v>900</v>
      </c>
      <c r="M5" s="13" t="n">
        <v>336</v>
      </c>
      <c r="N5" s="9" t="str">
        <f aca="false">IF(AND(M5&gt;=K5,M5&lt;=L5),"OK","Check")</f>
        <v>OK</v>
      </c>
      <c r="O5" s="11" t="s">
        <v>90</v>
      </c>
      <c r="P5" s="11" t="s">
        <v>91</v>
      </c>
      <c r="Q5" s="9" t="n">
        <f aca="false">LEN(P5)-LEN(SUBSTITUTE(P5,CHAR(10),""))+1</f>
        <v>3</v>
      </c>
      <c r="R5" s="11" t="s">
        <v>74</v>
      </c>
      <c r="S5" s="11" t="s">
        <v>92</v>
      </c>
      <c r="T5" s="13" t="s">
        <v>65</v>
      </c>
    </row>
    <row r="6" customFormat="false" ht="90" hidden="false" customHeight="true" outlineLevel="0" collapsed="false">
      <c r="A6" s="9" t="n">
        <v>5</v>
      </c>
      <c r="B6" s="10" t="s">
        <v>26</v>
      </c>
      <c r="C6" s="10" t="s">
        <v>76</v>
      </c>
      <c r="D6" s="11" t="s">
        <v>93</v>
      </c>
      <c r="E6" s="11" t="s">
        <v>94</v>
      </c>
      <c r="F6" s="11" t="s">
        <v>95</v>
      </c>
      <c r="G6" s="11" t="s">
        <v>96</v>
      </c>
      <c r="H6" s="12" t="n">
        <f aca="false">LEN(G6)</f>
        <v>42</v>
      </c>
      <c r="I6" s="11" t="s">
        <v>97</v>
      </c>
      <c r="J6" s="12" t="n">
        <f aca="false">LEN(I6)</f>
        <v>128</v>
      </c>
      <c r="K6" s="13" t="n">
        <v>300</v>
      </c>
      <c r="L6" s="13" t="n">
        <v>900</v>
      </c>
      <c r="M6" s="13" t="n">
        <v>542</v>
      </c>
      <c r="N6" s="9" t="str">
        <f aca="false">IF(AND(M6&gt;=K6,M6&lt;=L6),"OK","Check")</f>
        <v>OK</v>
      </c>
      <c r="O6" s="11" t="s">
        <v>98</v>
      </c>
      <c r="P6" s="11" t="s">
        <v>99</v>
      </c>
      <c r="Q6" s="9" t="n">
        <f aca="false">LEN(P6)-LEN(SUBSTITUTE(P6,CHAR(10),""))+1</f>
        <v>3</v>
      </c>
      <c r="R6" s="11" t="s">
        <v>74</v>
      </c>
      <c r="S6" s="11" t="s">
        <v>100</v>
      </c>
      <c r="T6" s="13" t="s">
        <v>65</v>
      </c>
    </row>
    <row r="7" customFormat="false" ht="90" hidden="false" customHeight="true" outlineLevel="0" collapsed="false">
      <c r="A7" s="9" t="n">
        <v>6</v>
      </c>
      <c r="B7" s="14" t="s">
        <v>27</v>
      </c>
      <c r="C7" s="14" t="s">
        <v>101</v>
      </c>
      <c r="D7" s="11" t="s">
        <v>101</v>
      </c>
      <c r="E7" s="11" t="s">
        <v>102</v>
      </c>
      <c r="F7" s="11" t="s">
        <v>103</v>
      </c>
      <c r="G7" s="11" t="s">
        <v>104</v>
      </c>
      <c r="H7" s="12" t="n">
        <f aca="false">LEN(G7)</f>
        <v>56</v>
      </c>
      <c r="I7" s="11" t="s">
        <v>105</v>
      </c>
      <c r="J7" s="12" t="n">
        <f aca="false">LEN(I7)</f>
        <v>148</v>
      </c>
      <c r="K7" s="13" t="n">
        <v>800</v>
      </c>
      <c r="L7" s="13" t="n">
        <v>1200</v>
      </c>
      <c r="M7" s="13" t="n">
        <v>1106</v>
      </c>
      <c r="N7" s="9" t="str">
        <f aca="false">IF(AND(M7&gt;=K7,M7&lt;=L7),"OK","Check")</f>
        <v>OK</v>
      </c>
      <c r="O7" s="11" t="s">
        <v>106</v>
      </c>
      <c r="P7" s="11" t="s">
        <v>107</v>
      </c>
      <c r="Q7" s="9" t="n">
        <f aca="false">LEN(P7)-LEN(SUBSTITUTE(P7,CHAR(10),""))+1</f>
        <v>13</v>
      </c>
      <c r="R7" s="11" t="s">
        <v>108</v>
      </c>
      <c r="S7" s="11" t="s">
        <v>109</v>
      </c>
      <c r="T7" s="13" t="s">
        <v>65</v>
      </c>
    </row>
    <row r="8" customFormat="false" ht="90" hidden="false" customHeight="true" outlineLevel="0" collapsed="false">
      <c r="A8" s="9" t="n">
        <v>7</v>
      </c>
      <c r="B8" s="14" t="s">
        <v>27</v>
      </c>
      <c r="C8" s="14" t="s">
        <v>110</v>
      </c>
      <c r="D8" s="11" t="s">
        <v>110</v>
      </c>
      <c r="E8" s="11" t="s">
        <v>111</v>
      </c>
      <c r="F8" s="11" t="s">
        <v>112</v>
      </c>
      <c r="G8" s="11" t="s">
        <v>113</v>
      </c>
      <c r="H8" s="12" t="n">
        <f aca="false">LEN(G8)</f>
        <v>51</v>
      </c>
      <c r="I8" s="11" t="s">
        <v>114</v>
      </c>
      <c r="J8" s="12" t="n">
        <f aca="false">LEN(I8)</f>
        <v>154</v>
      </c>
      <c r="K8" s="13" t="n">
        <v>800</v>
      </c>
      <c r="L8" s="13" t="n">
        <v>1200</v>
      </c>
      <c r="M8" s="13" t="n">
        <v>1026</v>
      </c>
      <c r="N8" s="9" t="str">
        <f aca="false">IF(AND(M8&gt;=K8,M8&lt;=L8),"OK","Check")</f>
        <v>OK</v>
      </c>
      <c r="O8" s="11" t="s">
        <v>115</v>
      </c>
      <c r="P8" s="11" t="s">
        <v>116</v>
      </c>
      <c r="Q8" s="9" t="n">
        <f aca="false">LEN(P8)-LEN(SUBSTITUTE(P8,CHAR(10),""))+1</f>
        <v>13</v>
      </c>
      <c r="R8" s="11" t="s">
        <v>108</v>
      </c>
      <c r="S8" s="11" t="s">
        <v>109</v>
      </c>
      <c r="T8" s="13" t="s">
        <v>65</v>
      </c>
    </row>
    <row r="9" customFormat="false" ht="90" hidden="false" customHeight="true" outlineLevel="0" collapsed="false">
      <c r="A9" s="9" t="n">
        <v>8</v>
      </c>
      <c r="B9" s="14" t="s">
        <v>27</v>
      </c>
      <c r="C9" s="14" t="s">
        <v>117</v>
      </c>
      <c r="D9" s="11" t="s">
        <v>117</v>
      </c>
      <c r="E9" s="11" t="s">
        <v>118</v>
      </c>
      <c r="F9" s="11" t="s">
        <v>119</v>
      </c>
      <c r="G9" s="11" t="s">
        <v>120</v>
      </c>
      <c r="H9" s="12" t="n">
        <f aca="false">LEN(G9)</f>
        <v>59</v>
      </c>
      <c r="I9" s="11" t="s">
        <v>121</v>
      </c>
      <c r="J9" s="12" t="n">
        <f aca="false">LEN(I9)</f>
        <v>149</v>
      </c>
      <c r="K9" s="13" t="n">
        <v>800</v>
      </c>
      <c r="L9" s="13" t="n">
        <v>1200</v>
      </c>
      <c r="M9" s="13" t="n">
        <v>1032</v>
      </c>
      <c r="N9" s="9" t="str">
        <f aca="false">IF(AND(M9&gt;=K9,M9&lt;=L9),"OK","Check")</f>
        <v>OK</v>
      </c>
      <c r="O9" s="11" t="s">
        <v>122</v>
      </c>
      <c r="P9" s="11" t="s">
        <v>123</v>
      </c>
      <c r="Q9" s="9" t="n">
        <f aca="false">LEN(P9)-LEN(SUBSTITUTE(P9,CHAR(10),""))+1</f>
        <v>13</v>
      </c>
      <c r="R9" s="11" t="s">
        <v>124</v>
      </c>
      <c r="S9" s="11" t="s">
        <v>109</v>
      </c>
      <c r="T9" s="13" t="s">
        <v>65</v>
      </c>
    </row>
    <row r="10" customFormat="false" ht="90" hidden="false" customHeight="true" outlineLevel="0" collapsed="false">
      <c r="A10" s="9" t="n">
        <v>9</v>
      </c>
      <c r="B10" s="14" t="s">
        <v>27</v>
      </c>
      <c r="C10" s="14" t="s">
        <v>125</v>
      </c>
      <c r="D10" s="11" t="s">
        <v>125</v>
      </c>
      <c r="E10" s="11" t="s">
        <v>126</v>
      </c>
      <c r="F10" s="11" t="s">
        <v>127</v>
      </c>
      <c r="G10" s="11" t="s">
        <v>128</v>
      </c>
      <c r="H10" s="12" t="n">
        <f aca="false">LEN(G10)</f>
        <v>49</v>
      </c>
      <c r="I10" s="11" t="s">
        <v>129</v>
      </c>
      <c r="J10" s="12" t="n">
        <f aca="false">LEN(I10)</f>
        <v>142</v>
      </c>
      <c r="K10" s="13" t="n">
        <v>800</v>
      </c>
      <c r="L10" s="13" t="n">
        <v>1200</v>
      </c>
      <c r="M10" s="13" t="n">
        <v>1005</v>
      </c>
      <c r="N10" s="9" t="str">
        <f aca="false">IF(AND(M10&gt;=K10,M10&lt;=L10),"OK","Check")</f>
        <v>OK</v>
      </c>
      <c r="O10" s="11" t="s">
        <v>130</v>
      </c>
      <c r="P10" s="11" t="s">
        <v>131</v>
      </c>
      <c r="Q10" s="9" t="n">
        <f aca="false">LEN(P10)-LEN(SUBSTITUTE(P10,CHAR(10),""))+1</f>
        <v>13</v>
      </c>
      <c r="R10" s="11" t="s">
        <v>124</v>
      </c>
      <c r="S10" s="11" t="s">
        <v>109</v>
      </c>
      <c r="T10" s="13" t="s">
        <v>65</v>
      </c>
    </row>
    <row r="11" customFormat="false" ht="90" hidden="false" customHeight="true" outlineLevel="0" collapsed="false">
      <c r="A11" s="9" t="n">
        <v>10</v>
      </c>
      <c r="B11" s="14" t="s">
        <v>27</v>
      </c>
      <c r="C11" s="14" t="s">
        <v>132</v>
      </c>
      <c r="D11" s="11" t="s">
        <v>132</v>
      </c>
      <c r="E11" s="11" t="s">
        <v>133</v>
      </c>
      <c r="F11" s="11" t="s">
        <v>134</v>
      </c>
      <c r="G11" s="11" t="s">
        <v>135</v>
      </c>
      <c r="H11" s="12" t="n">
        <f aca="false">LEN(G11)</f>
        <v>54</v>
      </c>
      <c r="I11" s="11" t="s">
        <v>136</v>
      </c>
      <c r="J11" s="12" t="n">
        <f aca="false">LEN(I11)</f>
        <v>152</v>
      </c>
      <c r="K11" s="13" t="n">
        <v>800</v>
      </c>
      <c r="L11" s="13" t="n">
        <v>1200</v>
      </c>
      <c r="M11" s="13" t="n">
        <v>963</v>
      </c>
      <c r="N11" s="9" t="str">
        <f aca="false">IF(AND(M11&gt;=K11,M11&lt;=L11),"OK","Check")</f>
        <v>OK</v>
      </c>
      <c r="O11" s="11" t="s">
        <v>137</v>
      </c>
      <c r="P11" s="11" t="s">
        <v>138</v>
      </c>
      <c r="Q11" s="9" t="n">
        <f aca="false">LEN(P11)-LEN(SUBSTITUTE(P11,CHAR(10),""))+1</f>
        <v>13</v>
      </c>
      <c r="R11" s="11" t="s">
        <v>139</v>
      </c>
      <c r="S11" s="11" t="s">
        <v>109</v>
      </c>
      <c r="T11" s="13" t="s">
        <v>65</v>
      </c>
    </row>
    <row r="12" customFormat="false" ht="90" hidden="false" customHeight="true" outlineLevel="0" collapsed="false">
      <c r="A12" s="9" t="n">
        <v>11</v>
      </c>
      <c r="B12" s="14" t="s">
        <v>27</v>
      </c>
      <c r="C12" s="14" t="s">
        <v>140</v>
      </c>
      <c r="D12" s="11" t="s">
        <v>140</v>
      </c>
      <c r="E12" s="11" t="s">
        <v>141</v>
      </c>
      <c r="F12" s="11" t="s">
        <v>142</v>
      </c>
      <c r="G12" s="11" t="s">
        <v>143</v>
      </c>
      <c r="H12" s="12" t="n">
        <f aca="false">LEN(G12)</f>
        <v>48</v>
      </c>
      <c r="I12" s="11" t="s">
        <v>144</v>
      </c>
      <c r="J12" s="12" t="n">
        <f aca="false">LEN(I12)</f>
        <v>143</v>
      </c>
      <c r="K12" s="13" t="n">
        <v>800</v>
      </c>
      <c r="L12" s="13" t="n">
        <v>1200</v>
      </c>
      <c r="M12" s="13" t="n">
        <v>945</v>
      </c>
      <c r="N12" s="9" t="str">
        <f aca="false">IF(AND(M12&gt;=K12,M12&lt;=L12),"OK","Check")</f>
        <v>OK</v>
      </c>
      <c r="O12" s="11" t="s">
        <v>145</v>
      </c>
      <c r="P12" s="11" t="s">
        <v>146</v>
      </c>
      <c r="Q12" s="9" t="n">
        <f aca="false">LEN(P12)-LEN(SUBSTITUTE(P12,CHAR(10),""))+1</f>
        <v>13</v>
      </c>
      <c r="R12" s="11" t="s">
        <v>147</v>
      </c>
      <c r="S12" s="11" t="s">
        <v>109</v>
      </c>
      <c r="T12" s="13" t="s">
        <v>65</v>
      </c>
    </row>
    <row r="13" customFormat="false" ht="90" hidden="false" customHeight="true" outlineLevel="0" collapsed="false">
      <c r="A13" s="9" t="n">
        <v>12</v>
      </c>
      <c r="B13" s="14" t="s">
        <v>27</v>
      </c>
      <c r="C13" s="14" t="s">
        <v>148</v>
      </c>
      <c r="D13" s="11" t="s">
        <v>148</v>
      </c>
      <c r="E13" s="11" t="s">
        <v>149</v>
      </c>
      <c r="F13" s="11" t="s">
        <v>150</v>
      </c>
      <c r="G13" s="11" t="s">
        <v>151</v>
      </c>
      <c r="H13" s="12" t="n">
        <f aca="false">LEN(G13)</f>
        <v>57</v>
      </c>
      <c r="I13" s="11" t="s">
        <v>152</v>
      </c>
      <c r="J13" s="12" t="n">
        <f aca="false">LEN(I13)</f>
        <v>147</v>
      </c>
      <c r="K13" s="13" t="n">
        <v>800</v>
      </c>
      <c r="L13" s="13" t="n">
        <v>1200</v>
      </c>
      <c r="M13" s="13" t="n">
        <v>956</v>
      </c>
      <c r="N13" s="9" t="str">
        <f aca="false">IF(AND(M13&gt;=K13,M13&lt;=L13),"OK","Check")</f>
        <v>OK</v>
      </c>
      <c r="O13" s="11" t="s">
        <v>153</v>
      </c>
      <c r="P13" s="11" t="s">
        <v>154</v>
      </c>
      <c r="Q13" s="9" t="n">
        <f aca="false">LEN(P13)-LEN(SUBSTITUTE(P13,CHAR(10),""))+1</f>
        <v>13</v>
      </c>
      <c r="R13" s="11" t="s">
        <v>147</v>
      </c>
      <c r="S13" s="11" t="s">
        <v>109</v>
      </c>
      <c r="T13" s="13" t="s">
        <v>65</v>
      </c>
    </row>
    <row r="14" customFormat="false" ht="90" hidden="false" customHeight="true" outlineLevel="0" collapsed="false">
      <c r="A14" s="9" t="n">
        <v>13</v>
      </c>
      <c r="B14" s="14" t="s">
        <v>27</v>
      </c>
      <c r="C14" s="14" t="s">
        <v>155</v>
      </c>
      <c r="D14" s="11" t="s">
        <v>155</v>
      </c>
      <c r="E14" s="11" t="s">
        <v>156</v>
      </c>
      <c r="F14" s="11" t="s">
        <v>157</v>
      </c>
      <c r="G14" s="11" t="s">
        <v>158</v>
      </c>
      <c r="H14" s="12" t="n">
        <f aca="false">LEN(G14)</f>
        <v>51</v>
      </c>
      <c r="I14" s="11" t="s">
        <v>159</v>
      </c>
      <c r="J14" s="12" t="n">
        <f aca="false">LEN(I14)</f>
        <v>144</v>
      </c>
      <c r="K14" s="13" t="n">
        <v>800</v>
      </c>
      <c r="L14" s="13" t="n">
        <v>1200</v>
      </c>
      <c r="M14" s="13" t="n">
        <v>904</v>
      </c>
      <c r="N14" s="9" t="str">
        <f aca="false">IF(AND(M14&gt;=K14,M14&lt;=L14),"OK","Check")</f>
        <v>OK</v>
      </c>
      <c r="O14" s="11" t="s">
        <v>160</v>
      </c>
      <c r="P14" s="11" t="s">
        <v>161</v>
      </c>
      <c r="Q14" s="9" t="n">
        <f aca="false">LEN(P14)-LEN(SUBSTITUTE(P14,CHAR(10),""))+1</f>
        <v>13</v>
      </c>
      <c r="R14" s="11" t="s">
        <v>147</v>
      </c>
      <c r="S14" s="11" t="s">
        <v>109</v>
      </c>
      <c r="T14" s="13" t="s">
        <v>65</v>
      </c>
    </row>
    <row r="15" customFormat="false" ht="90" hidden="false" customHeight="true" outlineLevel="0" collapsed="false">
      <c r="A15" s="9" t="n">
        <v>14</v>
      </c>
      <c r="B15" s="15" t="s">
        <v>28</v>
      </c>
      <c r="C15" s="15" t="s">
        <v>162</v>
      </c>
      <c r="D15" s="11" t="s">
        <v>162</v>
      </c>
      <c r="E15" s="11" t="s">
        <v>163</v>
      </c>
      <c r="F15" s="11" t="s">
        <v>164</v>
      </c>
      <c r="G15" s="11" t="s">
        <v>165</v>
      </c>
      <c r="H15" s="12" t="n">
        <f aca="false">LEN(G15)</f>
        <v>53</v>
      </c>
      <c r="I15" s="11" t="s">
        <v>166</v>
      </c>
      <c r="J15" s="12" t="n">
        <f aca="false">LEN(I15)</f>
        <v>142</v>
      </c>
      <c r="K15" s="13" t="n">
        <v>700</v>
      </c>
      <c r="L15" s="13" t="n">
        <v>1000</v>
      </c>
      <c r="M15" s="13" t="n">
        <v>896</v>
      </c>
      <c r="N15" s="9" t="str">
        <f aca="false">IF(AND(M15&gt;=K15,M15&lt;=L15),"OK","Check")</f>
        <v>OK</v>
      </c>
      <c r="O15" s="11" t="s">
        <v>167</v>
      </c>
      <c r="P15" s="11" t="s">
        <v>168</v>
      </c>
      <c r="Q15" s="9" t="n">
        <f aca="false">LEN(P15)-LEN(SUBSTITUTE(P15,CHAR(10),""))+1</f>
        <v>13</v>
      </c>
      <c r="R15" s="11" t="s">
        <v>147</v>
      </c>
      <c r="S15" s="11" t="s">
        <v>109</v>
      </c>
      <c r="T15" s="13" t="s">
        <v>65</v>
      </c>
    </row>
    <row r="16" customFormat="false" ht="90" hidden="false" customHeight="true" outlineLevel="0" collapsed="false">
      <c r="A16" s="9" t="n">
        <v>15</v>
      </c>
      <c r="B16" s="15" t="s">
        <v>28</v>
      </c>
      <c r="C16" s="15" t="s">
        <v>169</v>
      </c>
      <c r="D16" s="11" t="s">
        <v>169</v>
      </c>
      <c r="E16" s="11" t="s">
        <v>170</v>
      </c>
      <c r="F16" s="11" t="s">
        <v>171</v>
      </c>
      <c r="G16" s="11" t="s">
        <v>172</v>
      </c>
      <c r="H16" s="12" t="n">
        <f aca="false">LEN(G16)</f>
        <v>53</v>
      </c>
      <c r="I16" s="11" t="s">
        <v>173</v>
      </c>
      <c r="J16" s="12" t="n">
        <f aca="false">LEN(I16)</f>
        <v>143</v>
      </c>
      <c r="K16" s="13" t="n">
        <v>700</v>
      </c>
      <c r="L16" s="13" t="n">
        <v>1000</v>
      </c>
      <c r="M16" s="13" t="n">
        <v>915</v>
      </c>
      <c r="N16" s="9" t="str">
        <f aca="false">IF(AND(M16&gt;=K16,M16&lt;=L16),"OK","Check")</f>
        <v>OK</v>
      </c>
      <c r="O16" s="11" t="s">
        <v>174</v>
      </c>
      <c r="P16" s="11" t="s">
        <v>175</v>
      </c>
      <c r="Q16" s="9" t="n">
        <f aca="false">LEN(P16)-LEN(SUBSTITUTE(P16,CHAR(10),""))+1</f>
        <v>13</v>
      </c>
      <c r="R16" s="11" t="s">
        <v>108</v>
      </c>
      <c r="S16" s="11" t="s">
        <v>109</v>
      </c>
      <c r="T16" s="13" t="s">
        <v>65</v>
      </c>
    </row>
    <row r="17" customFormat="false" ht="90" hidden="false" customHeight="true" outlineLevel="0" collapsed="false">
      <c r="A17" s="9" t="n">
        <v>16</v>
      </c>
      <c r="B17" s="15" t="s">
        <v>28</v>
      </c>
      <c r="C17" s="15" t="s">
        <v>176</v>
      </c>
      <c r="D17" s="11" t="s">
        <v>176</v>
      </c>
      <c r="E17" s="11" t="s">
        <v>177</v>
      </c>
      <c r="F17" s="11" t="s">
        <v>178</v>
      </c>
      <c r="G17" s="11" t="s">
        <v>179</v>
      </c>
      <c r="H17" s="12" t="n">
        <f aca="false">LEN(G17)</f>
        <v>55</v>
      </c>
      <c r="I17" s="11" t="s">
        <v>180</v>
      </c>
      <c r="J17" s="12" t="n">
        <f aca="false">LEN(I17)</f>
        <v>152</v>
      </c>
      <c r="K17" s="13" t="n">
        <v>700</v>
      </c>
      <c r="L17" s="13" t="n">
        <v>1000</v>
      </c>
      <c r="M17" s="13" t="n">
        <v>909</v>
      </c>
      <c r="N17" s="9" t="str">
        <f aca="false">IF(AND(M17&gt;=K17,M17&lt;=L17),"OK","Check")</f>
        <v>OK</v>
      </c>
      <c r="O17" s="11" t="s">
        <v>181</v>
      </c>
      <c r="P17" s="11" t="s">
        <v>182</v>
      </c>
      <c r="Q17" s="9" t="n">
        <f aca="false">LEN(P17)-LEN(SUBSTITUTE(P17,CHAR(10),""))+1</f>
        <v>13</v>
      </c>
      <c r="R17" s="11" t="s">
        <v>108</v>
      </c>
      <c r="S17" s="11" t="s">
        <v>109</v>
      </c>
      <c r="T17" s="13" t="s">
        <v>65</v>
      </c>
    </row>
    <row r="18" customFormat="false" ht="90" hidden="false" customHeight="true" outlineLevel="0" collapsed="false">
      <c r="A18" s="9" t="n">
        <v>17</v>
      </c>
      <c r="B18" s="15" t="s">
        <v>28</v>
      </c>
      <c r="C18" s="15" t="s">
        <v>183</v>
      </c>
      <c r="D18" s="11" t="s">
        <v>183</v>
      </c>
      <c r="E18" s="11" t="s">
        <v>184</v>
      </c>
      <c r="F18" s="11" t="s">
        <v>185</v>
      </c>
      <c r="G18" s="11" t="s">
        <v>186</v>
      </c>
      <c r="H18" s="12" t="n">
        <f aca="false">LEN(G18)</f>
        <v>60</v>
      </c>
      <c r="I18" s="11" t="s">
        <v>187</v>
      </c>
      <c r="J18" s="12" t="n">
        <f aca="false">LEN(I18)</f>
        <v>147</v>
      </c>
      <c r="K18" s="13" t="n">
        <v>700</v>
      </c>
      <c r="L18" s="13" t="n">
        <v>1000</v>
      </c>
      <c r="M18" s="13" t="n">
        <v>904</v>
      </c>
      <c r="N18" s="9" t="str">
        <f aca="false">IF(AND(M18&gt;=K18,M18&lt;=L18),"OK","Check")</f>
        <v>OK</v>
      </c>
      <c r="O18" s="11" t="s">
        <v>188</v>
      </c>
      <c r="P18" s="11" t="s">
        <v>189</v>
      </c>
      <c r="Q18" s="9" t="n">
        <f aca="false">LEN(P18)-LEN(SUBSTITUTE(P18,CHAR(10),""))+1</f>
        <v>13</v>
      </c>
      <c r="R18" s="11" t="s">
        <v>139</v>
      </c>
      <c r="S18" s="11" t="s">
        <v>109</v>
      </c>
      <c r="T18" s="13" t="s">
        <v>65</v>
      </c>
    </row>
    <row r="19" customFormat="false" ht="90" hidden="false" customHeight="true" outlineLevel="0" collapsed="false">
      <c r="A19" s="9" t="n">
        <v>18</v>
      </c>
      <c r="B19" s="15" t="s">
        <v>28</v>
      </c>
      <c r="C19" s="15" t="s">
        <v>190</v>
      </c>
      <c r="D19" s="11" t="s">
        <v>190</v>
      </c>
      <c r="E19" s="11" t="s">
        <v>191</v>
      </c>
      <c r="F19" s="11" t="s">
        <v>192</v>
      </c>
      <c r="G19" s="11" t="s">
        <v>193</v>
      </c>
      <c r="H19" s="12" t="n">
        <f aca="false">LEN(G19)</f>
        <v>58</v>
      </c>
      <c r="I19" s="11" t="s">
        <v>194</v>
      </c>
      <c r="J19" s="12" t="n">
        <f aca="false">LEN(I19)</f>
        <v>135</v>
      </c>
      <c r="K19" s="13" t="n">
        <v>700</v>
      </c>
      <c r="L19" s="13" t="n">
        <v>1000</v>
      </c>
      <c r="M19" s="13" t="n">
        <v>904</v>
      </c>
      <c r="N19" s="9" t="str">
        <f aca="false">IF(AND(M19&gt;=K19,M19&lt;=L19),"OK","Check")</f>
        <v>OK</v>
      </c>
      <c r="O19" s="11" t="s">
        <v>195</v>
      </c>
      <c r="P19" s="11" t="s">
        <v>196</v>
      </c>
      <c r="Q19" s="9" t="n">
        <f aca="false">LEN(P19)-LEN(SUBSTITUTE(P19,CHAR(10),""))+1</f>
        <v>13</v>
      </c>
      <c r="R19" s="11" t="s">
        <v>197</v>
      </c>
      <c r="S19" s="11" t="s">
        <v>109</v>
      </c>
      <c r="T19" s="13" t="s">
        <v>65</v>
      </c>
    </row>
    <row r="20" customFormat="false" ht="90" hidden="false" customHeight="true" outlineLevel="0" collapsed="false">
      <c r="A20" s="9" t="n">
        <v>19</v>
      </c>
      <c r="B20" s="15" t="s">
        <v>28</v>
      </c>
      <c r="C20" s="15" t="s">
        <v>198</v>
      </c>
      <c r="D20" s="11" t="s">
        <v>198</v>
      </c>
      <c r="E20" s="11" t="s">
        <v>199</v>
      </c>
      <c r="F20" s="11" t="s">
        <v>200</v>
      </c>
      <c r="G20" s="11" t="s">
        <v>201</v>
      </c>
      <c r="H20" s="12" t="n">
        <f aca="false">LEN(G20)</f>
        <v>60</v>
      </c>
      <c r="I20" s="11" t="s">
        <v>202</v>
      </c>
      <c r="J20" s="12" t="n">
        <f aca="false">LEN(I20)</f>
        <v>132</v>
      </c>
      <c r="K20" s="13" t="n">
        <v>700</v>
      </c>
      <c r="L20" s="13" t="n">
        <v>1000</v>
      </c>
      <c r="M20" s="13" t="n">
        <v>883</v>
      </c>
      <c r="N20" s="9" t="str">
        <f aca="false">IF(AND(M20&gt;=K20,M20&lt;=L20),"OK","Check")</f>
        <v>OK</v>
      </c>
      <c r="O20" s="11" t="s">
        <v>203</v>
      </c>
      <c r="P20" s="11" t="s">
        <v>204</v>
      </c>
      <c r="Q20" s="9" t="n">
        <f aca="false">LEN(P20)-LEN(SUBSTITUTE(P20,CHAR(10),""))+1</f>
        <v>13</v>
      </c>
      <c r="R20" s="11" t="s">
        <v>205</v>
      </c>
      <c r="S20" s="11" t="s">
        <v>109</v>
      </c>
      <c r="T20" s="13" t="s">
        <v>65</v>
      </c>
    </row>
    <row r="21" customFormat="false" ht="90" hidden="false" customHeight="true" outlineLevel="0" collapsed="false">
      <c r="A21" s="9" t="n">
        <v>20</v>
      </c>
      <c r="B21" s="16" t="s">
        <v>29</v>
      </c>
      <c r="C21" s="16" t="s">
        <v>206</v>
      </c>
      <c r="D21" s="11" t="s">
        <v>207</v>
      </c>
      <c r="E21" s="11" t="s">
        <v>208</v>
      </c>
      <c r="F21" s="11" t="s">
        <v>209</v>
      </c>
      <c r="G21" s="11" t="s">
        <v>210</v>
      </c>
      <c r="H21" s="12" t="n">
        <f aca="false">LEN(G21)</f>
        <v>49</v>
      </c>
      <c r="I21" s="11" t="s">
        <v>211</v>
      </c>
      <c r="J21" s="12" t="n">
        <f aca="false">LEN(I21)</f>
        <v>122</v>
      </c>
      <c r="K21" s="13" t="n">
        <v>800</v>
      </c>
      <c r="L21" s="13" t="n">
        <v>1200</v>
      </c>
      <c r="M21" s="13" t="n">
        <v>890</v>
      </c>
      <c r="N21" s="9" t="str">
        <f aca="false">IF(AND(M21&gt;=K21,M21&lt;=L21),"OK","Check")</f>
        <v>OK</v>
      </c>
      <c r="O21" s="11" t="s">
        <v>212</v>
      </c>
      <c r="P21" s="11" t="s">
        <v>213</v>
      </c>
      <c r="Q21" s="9" t="n">
        <f aca="false">LEN(P21)-LEN(SUBSTITUTE(P21,CHAR(10),""))+1</f>
        <v>18</v>
      </c>
      <c r="R21" s="11" t="s">
        <v>214</v>
      </c>
      <c r="S21" s="11" t="s">
        <v>215</v>
      </c>
      <c r="T21" s="13" t="s">
        <v>65</v>
      </c>
    </row>
    <row r="22" customFormat="false" ht="90" hidden="false" customHeight="true" outlineLevel="0" collapsed="false">
      <c r="A22" s="9" t="n">
        <v>21</v>
      </c>
      <c r="B22" s="16" t="s">
        <v>29</v>
      </c>
      <c r="C22" s="16" t="s">
        <v>216</v>
      </c>
      <c r="D22" s="11" t="s">
        <v>217</v>
      </c>
      <c r="E22" s="11" t="s">
        <v>218</v>
      </c>
      <c r="F22" s="11" t="s">
        <v>219</v>
      </c>
      <c r="G22" s="11" t="s">
        <v>220</v>
      </c>
      <c r="H22" s="12" t="n">
        <f aca="false">LEN(G22)</f>
        <v>48</v>
      </c>
      <c r="I22" s="11" t="s">
        <v>221</v>
      </c>
      <c r="J22" s="12" t="n">
        <f aca="false">LEN(I22)</f>
        <v>121</v>
      </c>
      <c r="K22" s="13" t="n">
        <v>800</v>
      </c>
      <c r="L22" s="13" t="n">
        <v>1200</v>
      </c>
      <c r="M22" s="13" t="n">
        <v>835</v>
      </c>
      <c r="N22" s="9" t="str">
        <f aca="false">IF(AND(M22&gt;=K22,M22&lt;=L22),"OK","Check")</f>
        <v>OK</v>
      </c>
      <c r="O22" s="11" t="s">
        <v>222</v>
      </c>
      <c r="P22" s="11" t="s">
        <v>223</v>
      </c>
      <c r="Q22" s="9" t="n">
        <f aca="false">LEN(P22)-LEN(SUBSTITUTE(P22,CHAR(10),""))+1</f>
        <v>19</v>
      </c>
      <c r="R22" s="11" t="s">
        <v>224</v>
      </c>
      <c r="S22" s="11" t="s">
        <v>215</v>
      </c>
      <c r="T22" s="13" t="s">
        <v>65</v>
      </c>
    </row>
    <row r="23" customFormat="false" ht="90" hidden="false" customHeight="true" outlineLevel="0" collapsed="false">
      <c r="A23" s="9" t="n">
        <v>22</v>
      </c>
      <c r="B23" s="16" t="s">
        <v>29</v>
      </c>
      <c r="C23" s="16" t="s">
        <v>225</v>
      </c>
      <c r="D23" s="11" t="s">
        <v>226</v>
      </c>
      <c r="E23" s="11" t="s">
        <v>227</v>
      </c>
      <c r="F23" s="11" t="s">
        <v>228</v>
      </c>
      <c r="G23" s="11" t="s">
        <v>229</v>
      </c>
      <c r="H23" s="12" t="n">
        <f aca="false">LEN(G23)</f>
        <v>44</v>
      </c>
      <c r="I23" s="11" t="s">
        <v>230</v>
      </c>
      <c r="J23" s="12" t="n">
        <f aca="false">LEN(I23)</f>
        <v>117</v>
      </c>
      <c r="K23" s="13" t="n">
        <v>800</v>
      </c>
      <c r="L23" s="13" t="n">
        <v>1200</v>
      </c>
      <c r="M23" s="13" t="n">
        <v>852</v>
      </c>
      <c r="N23" s="9" t="str">
        <f aca="false">IF(AND(M23&gt;=K23,M23&lt;=L23),"OK","Check")</f>
        <v>OK</v>
      </c>
      <c r="O23" s="11" t="s">
        <v>231</v>
      </c>
      <c r="P23" s="11" t="s">
        <v>232</v>
      </c>
      <c r="Q23" s="9" t="n">
        <f aca="false">LEN(P23)-LEN(SUBSTITUTE(P23,CHAR(10),""))+1</f>
        <v>20</v>
      </c>
      <c r="R23" s="11" t="s">
        <v>233</v>
      </c>
      <c r="S23" s="11" t="s">
        <v>215</v>
      </c>
      <c r="T23" s="13" t="s">
        <v>65</v>
      </c>
    </row>
    <row r="24" customFormat="false" ht="90" hidden="false" customHeight="true" outlineLevel="0" collapsed="false">
      <c r="A24" s="9" t="n">
        <v>23</v>
      </c>
      <c r="B24" s="16" t="s">
        <v>29</v>
      </c>
      <c r="C24" s="16" t="s">
        <v>234</v>
      </c>
      <c r="D24" s="11" t="s">
        <v>235</v>
      </c>
      <c r="E24" s="11" t="s">
        <v>236</v>
      </c>
      <c r="F24" s="11" t="s">
        <v>237</v>
      </c>
      <c r="G24" s="11" t="s">
        <v>238</v>
      </c>
      <c r="H24" s="12" t="n">
        <f aca="false">LEN(G24)</f>
        <v>46</v>
      </c>
      <c r="I24" s="11" t="s">
        <v>239</v>
      </c>
      <c r="J24" s="12" t="n">
        <f aca="false">LEN(I24)</f>
        <v>119</v>
      </c>
      <c r="K24" s="13" t="n">
        <v>800</v>
      </c>
      <c r="L24" s="13" t="n">
        <v>1200</v>
      </c>
      <c r="M24" s="13" t="n">
        <v>834</v>
      </c>
      <c r="N24" s="9" t="str">
        <f aca="false">IF(AND(M24&gt;=K24,M24&lt;=L24),"OK","Check")</f>
        <v>OK</v>
      </c>
      <c r="O24" s="11" t="s">
        <v>240</v>
      </c>
      <c r="P24" s="11" t="s">
        <v>241</v>
      </c>
      <c r="Q24" s="9" t="n">
        <f aca="false">LEN(P24)-LEN(SUBSTITUTE(P24,CHAR(10),""))+1</f>
        <v>18</v>
      </c>
      <c r="R24" s="11" t="s">
        <v>242</v>
      </c>
      <c r="S24" s="11" t="s">
        <v>215</v>
      </c>
      <c r="T24" s="13" t="s">
        <v>65</v>
      </c>
    </row>
    <row r="25" customFormat="false" ht="90" hidden="false" customHeight="true" outlineLevel="0" collapsed="false">
      <c r="A25" s="9" t="n">
        <v>24</v>
      </c>
      <c r="B25" s="16" t="s">
        <v>29</v>
      </c>
      <c r="C25" s="16" t="s">
        <v>243</v>
      </c>
      <c r="D25" s="11" t="s">
        <v>244</v>
      </c>
      <c r="E25" s="11" t="s">
        <v>245</v>
      </c>
      <c r="F25" s="11" t="s">
        <v>246</v>
      </c>
      <c r="G25" s="11" t="s">
        <v>247</v>
      </c>
      <c r="H25" s="12" t="n">
        <f aca="false">LEN(G25)</f>
        <v>48</v>
      </c>
      <c r="I25" s="11" t="s">
        <v>248</v>
      </c>
      <c r="J25" s="12" t="n">
        <f aca="false">LEN(I25)</f>
        <v>121</v>
      </c>
      <c r="K25" s="13" t="n">
        <v>800</v>
      </c>
      <c r="L25" s="13" t="n">
        <v>1200</v>
      </c>
      <c r="M25" s="13" t="n">
        <v>831</v>
      </c>
      <c r="N25" s="9" t="str">
        <f aca="false">IF(AND(M25&gt;=K25,M25&lt;=L25),"OK","Check")</f>
        <v>OK</v>
      </c>
      <c r="O25" s="11" t="s">
        <v>249</v>
      </c>
      <c r="P25" s="11" t="s">
        <v>250</v>
      </c>
      <c r="Q25" s="9" t="n">
        <f aca="false">LEN(P25)-LEN(SUBSTITUTE(P25,CHAR(10),""))+1</f>
        <v>18</v>
      </c>
      <c r="R25" s="11" t="s">
        <v>251</v>
      </c>
      <c r="S25" s="11" t="s">
        <v>215</v>
      </c>
      <c r="T25" s="13" t="s">
        <v>65</v>
      </c>
    </row>
    <row r="26" customFormat="false" ht="90" hidden="false" customHeight="true" outlineLevel="0" collapsed="false">
      <c r="A26" s="9" t="n">
        <v>25</v>
      </c>
      <c r="B26" s="17" t="s">
        <v>30</v>
      </c>
      <c r="C26" s="17" t="s">
        <v>76</v>
      </c>
      <c r="D26" s="11" t="s">
        <v>252</v>
      </c>
      <c r="E26" s="11" t="s">
        <v>253</v>
      </c>
      <c r="F26" s="11" t="s">
        <v>254</v>
      </c>
      <c r="G26" s="11" t="s">
        <v>255</v>
      </c>
      <c r="H26" s="12" t="n">
        <f aca="false">LEN(G26)</f>
        <v>47</v>
      </c>
      <c r="I26" s="11" t="s">
        <v>256</v>
      </c>
      <c r="J26" s="12" t="n">
        <f aca="false">LEN(I26)</f>
        <v>114</v>
      </c>
      <c r="K26" s="13" t="n">
        <v>300</v>
      </c>
      <c r="L26" s="13" t="n">
        <v>900</v>
      </c>
      <c r="M26" s="13" t="n">
        <v>398</v>
      </c>
      <c r="N26" s="9" t="str">
        <f aca="false">IF(AND(M26&gt;=K26,M26&lt;=L26),"OK","Check")</f>
        <v>OK</v>
      </c>
      <c r="O26" s="11" t="s">
        <v>257</v>
      </c>
      <c r="P26" s="11" t="s">
        <v>258</v>
      </c>
      <c r="Q26" s="9" t="n">
        <f aca="false">LEN(P26)-LEN(SUBSTITUTE(P26,CHAR(10),""))+1</f>
        <v>15</v>
      </c>
      <c r="R26" s="11" t="s">
        <v>63</v>
      </c>
      <c r="S26" s="11" t="s">
        <v>109</v>
      </c>
      <c r="T26" s="13" t="s">
        <v>65</v>
      </c>
    </row>
    <row r="27" customFormat="false" ht="90" hidden="false" customHeight="true" outlineLevel="0" collapsed="false">
      <c r="A27" s="9" t="n">
        <v>26</v>
      </c>
      <c r="B27" s="17" t="s">
        <v>30</v>
      </c>
      <c r="C27" s="17" t="s">
        <v>259</v>
      </c>
      <c r="D27" s="11" t="s">
        <v>260</v>
      </c>
      <c r="E27" s="11" t="s">
        <v>261</v>
      </c>
      <c r="F27" s="11" t="s">
        <v>262</v>
      </c>
      <c r="G27" s="11" t="s">
        <v>263</v>
      </c>
      <c r="H27" s="12" t="n">
        <f aca="false">LEN(G27)</f>
        <v>51</v>
      </c>
      <c r="I27" s="11" t="s">
        <v>264</v>
      </c>
      <c r="J27" s="12" t="n">
        <f aca="false">LEN(I27)</f>
        <v>119</v>
      </c>
      <c r="K27" s="13" t="n">
        <v>300</v>
      </c>
      <c r="L27" s="13" t="n">
        <v>900</v>
      </c>
      <c r="M27" s="13" t="n">
        <v>438</v>
      </c>
      <c r="N27" s="9" t="str">
        <f aca="false">IF(AND(M27&gt;=K27,M27&lt;=L27),"OK","Check")</f>
        <v>OK</v>
      </c>
      <c r="O27" s="11" t="s">
        <v>265</v>
      </c>
      <c r="P27" s="11" t="s">
        <v>266</v>
      </c>
      <c r="Q27" s="9" t="n">
        <f aca="false">LEN(P27)-LEN(SUBSTITUTE(P27,CHAR(10),""))+1</f>
        <v>7</v>
      </c>
      <c r="R27" s="11" t="s">
        <v>267</v>
      </c>
      <c r="S27" s="11" t="s">
        <v>268</v>
      </c>
      <c r="T27" s="13" t="s">
        <v>65</v>
      </c>
    </row>
    <row r="28" customFormat="false" ht="90" hidden="false" customHeight="true" outlineLevel="0" collapsed="false">
      <c r="A28" s="9" t="n">
        <v>27</v>
      </c>
      <c r="B28" s="17" t="s">
        <v>30</v>
      </c>
      <c r="C28" s="17" t="s">
        <v>76</v>
      </c>
      <c r="D28" s="11" t="s">
        <v>269</v>
      </c>
      <c r="E28" s="11" t="s">
        <v>270</v>
      </c>
      <c r="F28" s="11" t="s">
        <v>271</v>
      </c>
      <c r="G28" s="11" t="s">
        <v>272</v>
      </c>
      <c r="H28" s="12" t="n">
        <f aca="false">LEN(G28)</f>
        <v>45</v>
      </c>
      <c r="I28" s="11" t="s">
        <v>273</v>
      </c>
      <c r="J28" s="12" t="n">
        <f aca="false">LEN(I28)</f>
        <v>126</v>
      </c>
      <c r="K28" s="13" t="n">
        <v>300</v>
      </c>
      <c r="L28" s="13" t="n">
        <v>900</v>
      </c>
      <c r="M28" s="13" t="n">
        <v>334</v>
      </c>
      <c r="N28" s="9" t="str">
        <f aca="false">IF(AND(M28&gt;=K28,M28&lt;=L28),"OK","Check")</f>
        <v>OK</v>
      </c>
      <c r="O28" s="11" t="s">
        <v>274</v>
      </c>
      <c r="P28" s="11" t="s">
        <v>275</v>
      </c>
      <c r="Q28" s="9" t="n">
        <f aca="false">LEN(P28)-LEN(SUBSTITUTE(P28,CHAR(10),""))+1</f>
        <v>3</v>
      </c>
      <c r="R28" s="11" t="s">
        <v>74</v>
      </c>
      <c r="S28" s="11" t="s">
        <v>276</v>
      </c>
      <c r="T28" s="13" t="s">
        <v>65</v>
      </c>
    </row>
    <row r="29" customFormat="false" ht="90" hidden="false" customHeight="true" outlineLevel="0" collapsed="false">
      <c r="A29" s="9" t="n">
        <v>28</v>
      </c>
      <c r="B29" s="17" t="s">
        <v>30</v>
      </c>
      <c r="C29" s="17" t="s">
        <v>277</v>
      </c>
      <c r="D29" s="11" t="s">
        <v>277</v>
      </c>
      <c r="E29" s="11" t="s">
        <v>278</v>
      </c>
      <c r="F29" s="11" t="s">
        <v>279</v>
      </c>
      <c r="G29" s="11" t="s">
        <v>280</v>
      </c>
      <c r="H29" s="12" t="n">
        <f aca="false">LEN(G29)</f>
        <v>56</v>
      </c>
      <c r="I29" s="11" t="s">
        <v>281</v>
      </c>
      <c r="J29" s="12" t="n">
        <f aca="false">LEN(I29)</f>
        <v>133</v>
      </c>
      <c r="K29" s="13" t="n">
        <v>300</v>
      </c>
      <c r="L29" s="13" t="n">
        <v>900</v>
      </c>
      <c r="M29" s="13" t="n">
        <v>387</v>
      </c>
      <c r="N29" s="9" t="str">
        <f aca="false">IF(AND(M29&gt;=K29,M29&lt;=L29),"OK","Check")</f>
        <v>OK</v>
      </c>
      <c r="O29" s="11" t="s">
        <v>282</v>
      </c>
      <c r="P29" s="11" t="s">
        <v>283</v>
      </c>
      <c r="Q29" s="9" t="n">
        <f aca="false">LEN(P29)-LEN(SUBSTITUTE(P29,CHAR(10),""))+1</f>
        <v>9</v>
      </c>
      <c r="R29" s="11" t="s">
        <v>74</v>
      </c>
      <c r="S29" s="11" t="s">
        <v>284</v>
      </c>
      <c r="T29" s="13" t="s">
        <v>65</v>
      </c>
    </row>
    <row r="30" customFormat="false" ht="90" hidden="false" customHeight="true" outlineLevel="0" collapsed="false">
      <c r="A30" s="9" t="n">
        <v>29</v>
      </c>
      <c r="B30" s="18" t="s">
        <v>31</v>
      </c>
      <c r="C30" s="18" t="s">
        <v>101</v>
      </c>
      <c r="D30" s="11" t="s">
        <v>285</v>
      </c>
      <c r="E30" s="11" t="s">
        <v>286</v>
      </c>
      <c r="F30" s="11" t="s">
        <v>287</v>
      </c>
      <c r="G30" s="11" t="s">
        <v>288</v>
      </c>
      <c r="H30" s="12" t="n">
        <f aca="false">LEN(G30)</f>
        <v>54</v>
      </c>
      <c r="I30" s="11" t="s">
        <v>289</v>
      </c>
      <c r="J30" s="12" t="n">
        <f aca="false">LEN(I30)</f>
        <v>139</v>
      </c>
      <c r="K30" s="13" t="n">
        <v>800</v>
      </c>
      <c r="L30" s="13" t="n">
        <v>1200</v>
      </c>
      <c r="M30" s="13" t="n">
        <v>843</v>
      </c>
      <c r="N30" s="9" t="str">
        <f aca="false">IF(AND(M30&gt;=K30,M30&lt;=L30),"OK","Check")</f>
        <v>OK</v>
      </c>
      <c r="O30" s="11" t="s">
        <v>290</v>
      </c>
      <c r="P30" s="11" t="s">
        <v>291</v>
      </c>
      <c r="Q30" s="9" t="n">
        <f aca="false">LEN(P30)-LEN(SUBSTITUTE(P30,CHAR(10),""))+1</f>
        <v>6</v>
      </c>
      <c r="R30" s="11" t="s">
        <v>292</v>
      </c>
      <c r="S30" s="11" t="s">
        <v>293</v>
      </c>
      <c r="T30" s="13" t="s">
        <v>65</v>
      </c>
    </row>
    <row r="31" customFormat="false" ht="90" hidden="false" customHeight="true" outlineLevel="0" collapsed="false">
      <c r="A31" s="9" t="n">
        <v>30</v>
      </c>
      <c r="B31" s="18" t="s">
        <v>31</v>
      </c>
      <c r="C31" s="18" t="s">
        <v>101</v>
      </c>
      <c r="D31" s="11" t="s">
        <v>294</v>
      </c>
      <c r="E31" s="11" t="s">
        <v>295</v>
      </c>
      <c r="F31" s="11" t="s">
        <v>296</v>
      </c>
      <c r="G31" s="11" t="s">
        <v>297</v>
      </c>
      <c r="H31" s="12" t="n">
        <f aca="false">LEN(G31)</f>
        <v>53</v>
      </c>
      <c r="I31" s="11" t="s">
        <v>298</v>
      </c>
      <c r="J31" s="12" t="n">
        <f aca="false">LEN(I31)</f>
        <v>138</v>
      </c>
      <c r="K31" s="13" t="n">
        <v>800</v>
      </c>
      <c r="L31" s="13" t="n">
        <v>1200</v>
      </c>
      <c r="M31" s="13" t="n">
        <v>908</v>
      </c>
      <c r="N31" s="9" t="str">
        <f aca="false">IF(AND(M31&gt;=K31,M31&lt;=L31),"OK","Check")</f>
        <v>OK</v>
      </c>
      <c r="O31" s="11" t="s">
        <v>299</v>
      </c>
      <c r="P31" s="11" t="s">
        <v>300</v>
      </c>
      <c r="Q31" s="9" t="n">
        <f aca="false">LEN(P31)-LEN(SUBSTITUTE(P31,CHAR(10),""))+1</f>
        <v>7</v>
      </c>
      <c r="R31" s="11" t="s">
        <v>301</v>
      </c>
      <c r="S31" s="11" t="s">
        <v>302</v>
      </c>
      <c r="T31" s="13" t="s">
        <v>65</v>
      </c>
    </row>
    <row r="32" customFormat="false" ht="90" hidden="false" customHeight="true" outlineLevel="0" collapsed="false">
      <c r="A32" s="9" t="n">
        <v>31</v>
      </c>
      <c r="B32" s="18" t="s">
        <v>31</v>
      </c>
      <c r="C32" s="18" t="s">
        <v>101</v>
      </c>
      <c r="D32" s="11" t="s">
        <v>303</v>
      </c>
      <c r="E32" s="11" t="s">
        <v>304</v>
      </c>
      <c r="F32" s="11" t="s">
        <v>305</v>
      </c>
      <c r="G32" s="11" t="s">
        <v>306</v>
      </c>
      <c r="H32" s="12" t="n">
        <f aca="false">LEN(G32)</f>
        <v>49</v>
      </c>
      <c r="I32" s="11" t="s">
        <v>307</v>
      </c>
      <c r="J32" s="12" t="n">
        <f aca="false">LEN(I32)</f>
        <v>134</v>
      </c>
      <c r="K32" s="13" t="n">
        <v>800</v>
      </c>
      <c r="L32" s="13" t="n">
        <v>1200</v>
      </c>
      <c r="M32" s="13" t="n">
        <v>836</v>
      </c>
      <c r="N32" s="9" t="str">
        <f aca="false">IF(AND(M32&gt;=K32,M32&lt;=L32),"OK","Check")</f>
        <v>OK</v>
      </c>
      <c r="O32" s="11" t="s">
        <v>308</v>
      </c>
      <c r="P32" s="11" t="s">
        <v>309</v>
      </c>
      <c r="Q32" s="9" t="n">
        <f aca="false">LEN(P32)-LEN(SUBSTITUTE(P32,CHAR(10),""))+1</f>
        <v>7</v>
      </c>
      <c r="R32" s="11" t="s">
        <v>310</v>
      </c>
      <c r="S32" s="11" t="s">
        <v>311</v>
      </c>
      <c r="T32" s="13" t="s">
        <v>65</v>
      </c>
    </row>
    <row r="33" customFormat="false" ht="90" hidden="false" customHeight="true" outlineLevel="0" collapsed="false">
      <c r="A33" s="9" t="n">
        <v>32</v>
      </c>
      <c r="B33" s="18" t="s">
        <v>31</v>
      </c>
      <c r="C33" s="18" t="s">
        <v>101</v>
      </c>
      <c r="D33" s="11" t="s">
        <v>312</v>
      </c>
      <c r="E33" s="11" t="s">
        <v>313</v>
      </c>
      <c r="F33" s="11" t="s">
        <v>314</v>
      </c>
      <c r="G33" s="11" t="s">
        <v>315</v>
      </c>
      <c r="H33" s="12" t="n">
        <f aca="false">LEN(G33)</f>
        <v>51</v>
      </c>
      <c r="I33" s="11" t="s">
        <v>316</v>
      </c>
      <c r="J33" s="12" t="n">
        <f aca="false">LEN(I33)</f>
        <v>136</v>
      </c>
      <c r="K33" s="13" t="n">
        <v>800</v>
      </c>
      <c r="L33" s="13" t="n">
        <v>1200</v>
      </c>
      <c r="M33" s="13" t="n">
        <v>830</v>
      </c>
      <c r="N33" s="9" t="str">
        <f aca="false">IF(AND(M33&gt;=K33,M33&lt;=L33),"OK","Check")</f>
        <v>OK</v>
      </c>
      <c r="O33" s="11" t="s">
        <v>317</v>
      </c>
      <c r="P33" s="11" t="s">
        <v>318</v>
      </c>
      <c r="Q33" s="9" t="n">
        <f aca="false">LEN(P33)-LEN(SUBSTITUTE(P33,CHAR(10),""))+1</f>
        <v>6</v>
      </c>
      <c r="R33" s="11" t="s">
        <v>319</v>
      </c>
      <c r="S33" s="11" t="s">
        <v>320</v>
      </c>
      <c r="T33" s="13" t="s">
        <v>65</v>
      </c>
    </row>
    <row r="34" customFormat="false" ht="90" hidden="false" customHeight="true" outlineLevel="0" collapsed="false">
      <c r="A34" s="9" t="n">
        <v>33</v>
      </c>
      <c r="B34" s="18" t="s">
        <v>31</v>
      </c>
      <c r="C34" s="18" t="s">
        <v>101</v>
      </c>
      <c r="D34" s="11" t="s">
        <v>321</v>
      </c>
      <c r="E34" s="11" t="s">
        <v>322</v>
      </c>
      <c r="F34" s="11" t="s">
        <v>323</v>
      </c>
      <c r="G34" s="11" t="s">
        <v>324</v>
      </c>
      <c r="H34" s="12" t="n">
        <f aca="false">LEN(G34)</f>
        <v>53</v>
      </c>
      <c r="I34" s="11" t="s">
        <v>325</v>
      </c>
      <c r="J34" s="12" t="n">
        <f aca="false">LEN(I34)</f>
        <v>138</v>
      </c>
      <c r="K34" s="13" t="n">
        <v>800</v>
      </c>
      <c r="L34" s="13" t="n">
        <v>1200</v>
      </c>
      <c r="M34" s="13" t="n">
        <v>909</v>
      </c>
      <c r="N34" s="9" t="str">
        <f aca="false">IF(AND(M34&gt;=K34,M34&lt;=L34),"OK","Check")</f>
        <v>OK</v>
      </c>
      <c r="O34" s="11" t="s">
        <v>326</v>
      </c>
      <c r="P34" s="11" t="s">
        <v>327</v>
      </c>
      <c r="Q34" s="9" t="n">
        <f aca="false">LEN(P34)-LEN(SUBSTITUTE(P34,CHAR(10),""))+1</f>
        <v>6</v>
      </c>
      <c r="R34" s="11" t="s">
        <v>328</v>
      </c>
      <c r="S34" s="11" t="s">
        <v>329</v>
      </c>
      <c r="T34" s="13" t="s">
        <v>65</v>
      </c>
    </row>
    <row r="35" customFormat="false" ht="90" hidden="false" customHeight="true" outlineLevel="0" collapsed="false">
      <c r="A35" s="9" t="n">
        <v>34</v>
      </c>
      <c r="B35" s="18" t="s">
        <v>31</v>
      </c>
      <c r="C35" s="18" t="s">
        <v>110</v>
      </c>
      <c r="D35" s="11" t="s">
        <v>330</v>
      </c>
      <c r="E35" s="11" t="s">
        <v>331</v>
      </c>
      <c r="F35" s="11" t="s">
        <v>332</v>
      </c>
      <c r="G35" s="11" t="s">
        <v>333</v>
      </c>
      <c r="H35" s="12" t="n">
        <f aca="false">LEN(G35)</f>
        <v>49</v>
      </c>
      <c r="I35" s="11" t="s">
        <v>334</v>
      </c>
      <c r="J35" s="12" t="n">
        <f aca="false">LEN(I35)</f>
        <v>145</v>
      </c>
      <c r="K35" s="13" t="n">
        <v>800</v>
      </c>
      <c r="L35" s="13" t="n">
        <v>1200</v>
      </c>
      <c r="M35" s="13" t="n">
        <v>866</v>
      </c>
      <c r="N35" s="9" t="str">
        <f aca="false">IF(AND(M35&gt;=K35,M35&lt;=L35),"OK","Check")</f>
        <v>OK</v>
      </c>
      <c r="O35" s="11" t="s">
        <v>335</v>
      </c>
      <c r="P35" s="11" t="s">
        <v>336</v>
      </c>
      <c r="Q35" s="9" t="n">
        <f aca="false">LEN(P35)-LEN(SUBSTITUTE(P35,CHAR(10),""))+1</f>
        <v>6</v>
      </c>
      <c r="R35" s="11" t="s">
        <v>292</v>
      </c>
      <c r="S35" s="11" t="s">
        <v>293</v>
      </c>
      <c r="T35" s="13" t="s">
        <v>65</v>
      </c>
    </row>
    <row r="36" customFormat="false" ht="90" hidden="false" customHeight="true" outlineLevel="0" collapsed="false">
      <c r="A36" s="9" t="n">
        <v>35</v>
      </c>
      <c r="B36" s="18" t="s">
        <v>31</v>
      </c>
      <c r="C36" s="18" t="s">
        <v>110</v>
      </c>
      <c r="D36" s="11" t="s">
        <v>337</v>
      </c>
      <c r="E36" s="11" t="s">
        <v>338</v>
      </c>
      <c r="F36" s="11" t="s">
        <v>339</v>
      </c>
      <c r="G36" s="11" t="s">
        <v>340</v>
      </c>
      <c r="H36" s="12" t="n">
        <f aca="false">LEN(G36)</f>
        <v>48</v>
      </c>
      <c r="I36" s="11" t="s">
        <v>341</v>
      </c>
      <c r="J36" s="12" t="n">
        <f aca="false">LEN(I36)</f>
        <v>144</v>
      </c>
      <c r="K36" s="13" t="n">
        <v>800</v>
      </c>
      <c r="L36" s="13" t="n">
        <v>1200</v>
      </c>
      <c r="M36" s="13" t="n">
        <v>847</v>
      </c>
      <c r="N36" s="9" t="str">
        <f aca="false">IF(AND(M36&gt;=K36,M36&lt;=L36),"OK","Check")</f>
        <v>OK</v>
      </c>
      <c r="O36" s="11" t="s">
        <v>342</v>
      </c>
      <c r="P36" s="11" t="s">
        <v>343</v>
      </c>
      <c r="Q36" s="9" t="n">
        <f aca="false">LEN(P36)-LEN(SUBSTITUTE(P36,CHAR(10),""))+1</f>
        <v>7</v>
      </c>
      <c r="R36" s="11" t="s">
        <v>301</v>
      </c>
      <c r="S36" s="11" t="s">
        <v>302</v>
      </c>
      <c r="T36" s="13" t="s">
        <v>65</v>
      </c>
    </row>
    <row r="37" customFormat="false" ht="90" hidden="false" customHeight="true" outlineLevel="0" collapsed="false">
      <c r="A37" s="9" t="n">
        <v>36</v>
      </c>
      <c r="B37" s="18" t="s">
        <v>31</v>
      </c>
      <c r="C37" s="18" t="s">
        <v>110</v>
      </c>
      <c r="D37" s="11" t="s">
        <v>344</v>
      </c>
      <c r="E37" s="11" t="s">
        <v>345</v>
      </c>
      <c r="F37" s="11" t="s">
        <v>346</v>
      </c>
      <c r="G37" s="11" t="s">
        <v>347</v>
      </c>
      <c r="H37" s="12" t="n">
        <f aca="false">LEN(G37)</f>
        <v>44</v>
      </c>
      <c r="I37" s="11" t="s">
        <v>348</v>
      </c>
      <c r="J37" s="12" t="n">
        <f aca="false">LEN(I37)</f>
        <v>140</v>
      </c>
      <c r="K37" s="13" t="n">
        <v>800</v>
      </c>
      <c r="L37" s="13" t="n">
        <v>1200</v>
      </c>
      <c r="M37" s="13" t="n">
        <v>859</v>
      </c>
      <c r="N37" s="9" t="str">
        <f aca="false">IF(AND(M37&gt;=K37,M37&lt;=L37),"OK","Check")</f>
        <v>OK</v>
      </c>
      <c r="O37" s="11" t="s">
        <v>349</v>
      </c>
      <c r="P37" s="11" t="s">
        <v>350</v>
      </c>
      <c r="Q37" s="9" t="n">
        <f aca="false">LEN(P37)-LEN(SUBSTITUTE(P37,CHAR(10),""))+1</f>
        <v>7</v>
      </c>
      <c r="R37" s="11" t="s">
        <v>310</v>
      </c>
      <c r="S37" s="11" t="s">
        <v>311</v>
      </c>
      <c r="T37" s="13" t="s">
        <v>65</v>
      </c>
    </row>
    <row r="38" customFormat="false" ht="90" hidden="false" customHeight="true" outlineLevel="0" collapsed="false">
      <c r="A38" s="9" t="n">
        <v>37</v>
      </c>
      <c r="B38" s="18" t="s">
        <v>31</v>
      </c>
      <c r="C38" s="18" t="s">
        <v>110</v>
      </c>
      <c r="D38" s="11" t="s">
        <v>351</v>
      </c>
      <c r="E38" s="11" t="s">
        <v>352</v>
      </c>
      <c r="F38" s="11" t="s">
        <v>353</v>
      </c>
      <c r="G38" s="11" t="s">
        <v>354</v>
      </c>
      <c r="H38" s="12" t="n">
        <f aca="false">LEN(G38)</f>
        <v>46</v>
      </c>
      <c r="I38" s="11" t="s">
        <v>355</v>
      </c>
      <c r="J38" s="12" t="n">
        <f aca="false">LEN(I38)</f>
        <v>142</v>
      </c>
      <c r="K38" s="13" t="n">
        <v>800</v>
      </c>
      <c r="L38" s="13" t="n">
        <v>1200</v>
      </c>
      <c r="M38" s="13" t="n">
        <v>853</v>
      </c>
      <c r="N38" s="9" t="str">
        <f aca="false">IF(AND(M38&gt;=K38,M38&lt;=L38),"OK","Check")</f>
        <v>OK</v>
      </c>
      <c r="O38" s="11" t="s">
        <v>356</v>
      </c>
      <c r="P38" s="11" t="s">
        <v>357</v>
      </c>
      <c r="Q38" s="9" t="n">
        <f aca="false">LEN(P38)-LEN(SUBSTITUTE(P38,CHAR(10),""))+1</f>
        <v>6</v>
      </c>
      <c r="R38" s="11" t="s">
        <v>319</v>
      </c>
      <c r="S38" s="11" t="s">
        <v>320</v>
      </c>
      <c r="T38" s="13" t="s">
        <v>65</v>
      </c>
    </row>
    <row r="39" customFormat="false" ht="90" hidden="false" customHeight="true" outlineLevel="0" collapsed="false">
      <c r="A39" s="9" t="n">
        <v>38</v>
      </c>
      <c r="B39" s="18" t="s">
        <v>31</v>
      </c>
      <c r="C39" s="18" t="s">
        <v>110</v>
      </c>
      <c r="D39" s="11" t="s">
        <v>358</v>
      </c>
      <c r="E39" s="11" t="s">
        <v>359</v>
      </c>
      <c r="F39" s="11" t="s">
        <v>360</v>
      </c>
      <c r="G39" s="11" t="s">
        <v>361</v>
      </c>
      <c r="H39" s="12" t="n">
        <f aca="false">LEN(G39)</f>
        <v>48</v>
      </c>
      <c r="I39" s="11" t="s">
        <v>362</v>
      </c>
      <c r="J39" s="12" t="n">
        <f aca="false">LEN(I39)</f>
        <v>144</v>
      </c>
      <c r="K39" s="13" t="n">
        <v>800</v>
      </c>
      <c r="L39" s="13" t="n">
        <v>1200</v>
      </c>
      <c r="M39" s="13" t="n">
        <v>848</v>
      </c>
      <c r="N39" s="9" t="str">
        <f aca="false">IF(AND(M39&gt;=K39,M39&lt;=L39),"OK","Check")</f>
        <v>OK</v>
      </c>
      <c r="O39" s="11" t="s">
        <v>363</v>
      </c>
      <c r="P39" s="11" t="s">
        <v>364</v>
      </c>
      <c r="Q39" s="9" t="n">
        <f aca="false">LEN(P39)-LEN(SUBSTITUTE(P39,CHAR(10),""))+1</f>
        <v>6</v>
      </c>
      <c r="R39" s="11" t="s">
        <v>328</v>
      </c>
      <c r="S39" s="11" t="s">
        <v>329</v>
      </c>
      <c r="T39" s="13" t="s">
        <v>65</v>
      </c>
    </row>
    <row r="40" customFormat="false" ht="90" hidden="false" customHeight="true" outlineLevel="0" collapsed="false">
      <c r="A40" s="9" t="n">
        <v>39</v>
      </c>
      <c r="B40" s="18" t="s">
        <v>31</v>
      </c>
      <c r="C40" s="18" t="s">
        <v>117</v>
      </c>
      <c r="D40" s="11" t="s">
        <v>365</v>
      </c>
      <c r="E40" s="11" t="s">
        <v>366</v>
      </c>
      <c r="F40" s="11" t="s">
        <v>367</v>
      </c>
      <c r="G40" s="11" t="s">
        <v>368</v>
      </c>
      <c r="H40" s="12" t="n">
        <f aca="false">LEN(G40)</f>
        <v>57</v>
      </c>
      <c r="I40" s="11" t="s">
        <v>369</v>
      </c>
      <c r="J40" s="12" t="n">
        <f aca="false">LEN(I40)</f>
        <v>140</v>
      </c>
      <c r="K40" s="13" t="n">
        <v>800</v>
      </c>
      <c r="L40" s="13" t="n">
        <v>1200</v>
      </c>
      <c r="M40" s="13" t="n">
        <v>869</v>
      </c>
      <c r="N40" s="9" t="str">
        <f aca="false">IF(AND(M40&gt;=K40,M40&lt;=L40),"OK","Check")</f>
        <v>OK</v>
      </c>
      <c r="O40" s="11" t="s">
        <v>370</v>
      </c>
      <c r="P40" s="11" t="s">
        <v>371</v>
      </c>
      <c r="Q40" s="9" t="n">
        <f aca="false">LEN(P40)-LEN(SUBSTITUTE(P40,CHAR(10),""))+1</f>
        <v>6</v>
      </c>
      <c r="R40" s="11" t="s">
        <v>372</v>
      </c>
      <c r="S40" s="11" t="s">
        <v>293</v>
      </c>
      <c r="T40" s="13" t="s">
        <v>65</v>
      </c>
    </row>
    <row r="41" customFormat="false" ht="90" hidden="false" customHeight="true" outlineLevel="0" collapsed="false">
      <c r="A41" s="9" t="n">
        <v>40</v>
      </c>
      <c r="B41" s="18" t="s">
        <v>31</v>
      </c>
      <c r="C41" s="18" t="s">
        <v>117</v>
      </c>
      <c r="D41" s="11" t="s">
        <v>373</v>
      </c>
      <c r="E41" s="11" t="s">
        <v>374</v>
      </c>
      <c r="F41" s="11" t="s">
        <v>375</v>
      </c>
      <c r="G41" s="11" t="s">
        <v>376</v>
      </c>
      <c r="H41" s="12" t="n">
        <f aca="false">LEN(G41)</f>
        <v>56</v>
      </c>
      <c r="I41" s="11" t="s">
        <v>377</v>
      </c>
      <c r="J41" s="12" t="n">
        <f aca="false">LEN(I41)</f>
        <v>139</v>
      </c>
      <c r="K41" s="13" t="n">
        <v>800</v>
      </c>
      <c r="L41" s="13" t="n">
        <v>1200</v>
      </c>
      <c r="M41" s="13" t="n">
        <v>852</v>
      </c>
      <c r="N41" s="9" t="str">
        <f aca="false">IF(AND(M41&gt;=K41,M41&lt;=L41),"OK","Check")</f>
        <v>OK</v>
      </c>
      <c r="O41" s="11" t="s">
        <v>378</v>
      </c>
      <c r="P41" s="11" t="s">
        <v>379</v>
      </c>
      <c r="Q41" s="9" t="n">
        <f aca="false">LEN(P41)-LEN(SUBSTITUTE(P41,CHAR(10),""))+1</f>
        <v>7</v>
      </c>
      <c r="R41" s="11" t="s">
        <v>380</v>
      </c>
      <c r="S41" s="11" t="s">
        <v>302</v>
      </c>
      <c r="T41" s="13" t="s">
        <v>65</v>
      </c>
    </row>
    <row r="42" customFormat="false" ht="90" hidden="false" customHeight="true" outlineLevel="0" collapsed="false">
      <c r="A42" s="9" t="n">
        <v>41</v>
      </c>
      <c r="B42" s="18" t="s">
        <v>31</v>
      </c>
      <c r="C42" s="18" t="s">
        <v>117</v>
      </c>
      <c r="D42" s="11" t="s">
        <v>381</v>
      </c>
      <c r="E42" s="11" t="s">
        <v>382</v>
      </c>
      <c r="F42" s="11" t="s">
        <v>383</v>
      </c>
      <c r="G42" s="11" t="s">
        <v>384</v>
      </c>
      <c r="H42" s="12" t="n">
        <f aca="false">LEN(G42)</f>
        <v>52</v>
      </c>
      <c r="I42" s="11" t="s">
        <v>385</v>
      </c>
      <c r="J42" s="12" t="n">
        <f aca="false">LEN(I42)</f>
        <v>135</v>
      </c>
      <c r="K42" s="13" t="n">
        <v>800</v>
      </c>
      <c r="L42" s="13" t="n">
        <v>1200</v>
      </c>
      <c r="M42" s="13" t="n">
        <v>870</v>
      </c>
      <c r="N42" s="9" t="str">
        <f aca="false">IF(AND(M42&gt;=K42,M42&lt;=L42),"OK","Check")</f>
        <v>OK</v>
      </c>
      <c r="O42" s="11" t="s">
        <v>386</v>
      </c>
      <c r="P42" s="11" t="s">
        <v>387</v>
      </c>
      <c r="Q42" s="9" t="n">
        <f aca="false">LEN(P42)-LEN(SUBSTITUTE(P42,CHAR(10),""))+1</f>
        <v>7</v>
      </c>
      <c r="R42" s="11" t="s">
        <v>388</v>
      </c>
      <c r="S42" s="11" t="s">
        <v>311</v>
      </c>
      <c r="T42" s="13" t="s">
        <v>65</v>
      </c>
    </row>
    <row r="43" customFormat="false" ht="90" hidden="false" customHeight="true" outlineLevel="0" collapsed="false">
      <c r="A43" s="9" t="n">
        <v>42</v>
      </c>
      <c r="B43" s="18" t="s">
        <v>31</v>
      </c>
      <c r="C43" s="18" t="s">
        <v>117</v>
      </c>
      <c r="D43" s="11" t="s">
        <v>389</v>
      </c>
      <c r="E43" s="11" t="s">
        <v>390</v>
      </c>
      <c r="F43" s="11" t="s">
        <v>391</v>
      </c>
      <c r="G43" s="11" t="s">
        <v>392</v>
      </c>
      <c r="H43" s="12" t="n">
        <f aca="false">LEN(G43)</f>
        <v>54</v>
      </c>
      <c r="I43" s="11" t="s">
        <v>393</v>
      </c>
      <c r="J43" s="12" t="n">
        <f aca="false">LEN(I43)</f>
        <v>137</v>
      </c>
      <c r="K43" s="13" t="n">
        <v>800</v>
      </c>
      <c r="L43" s="13" t="n">
        <v>1200</v>
      </c>
      <c r="M43" s="13" t="n">
        <v>862</v>
      </c>
      <c r="N43" s="9" t="str">
        <f aca="false">IF(AND(M43&gt;=K43,M43&lt;=L43),"OK","Check")</f>
        <v>OK</v>
      </c>
      <c r="O43" s="11" t="s">
        <v>394</v>
      </c>
      <c r="P43" s="11" t="s">
        <v>395</v>
      </c>
      <c r="Q43" s="9" t="n">
        <f aca="false">LEN(P43)-LEN(SUBSTITUTE(P43,CHAR(10),""))+1</f>
        <v>6</v>
      </c>
      <c r="R43" s="11" t="s">
        <v>396</v>
      </c>
      <c r="S43" s="11" t="s">
        <v>320</v>
      </c>
      <c r="T43" s="13" t="s">
        <v>65</v>
      </c>
    </row>
    <row r="44" customFormat="false" ht="90" hidden="false" customHeight="true" outlineLevel="0" collapsed="false">
      <c r="A44" s="9" t="n">
        <v>43</v>
      </c>
      <c r="B44" s="18" t="s">
        <v>31</v>
      </c>
      <c r="C44" s="18" t="s">
        <v>117</v>
      </c>
      <c r="D44" s="11" t="s">
        <v>397</v>
      </c>
      <c r="E44" s="11" t="s">
        <v>398</v>
      </c>
      <c r="F44" s="11" t="s">
        <v>399</v>
      </c>
      <c r="G44" s="11" t="s">
        <v>400</v>
      </c>
      <c r="H44" s="12" t="n">
        <f aca="false">LEN(G44)</f>
        <v>56</v>
      </c>
      <c r="I44" s="11" t="s">
        <v>401</v>
      </c>
      <c r="J44" s="12" t="n">
        <f aca="false">LEN(I44)</f>
        <v>139</v>
      </c>
      <c r="K44" s="13" t="n">
        <v>800</v>
      </c>
      <c r="L44" s="13" t="n">
        <v>1200</v>
      </c>
      <c r="M44" s="13" t="n">
        <v>857</v>
      </c>
      <c r="N44" s="9" t="str">
        <f aca="false">IF(AND(M44&gt;=K44,M44&lt;=L44),"OK","Check")</f>
        <v>OK</v>
      </c>
      <c r="O44" s="11" t="s">
        <v>402</v>
      </c>
      <c r="P44" s="11" t="s">
        <v>403</v>
      </c>
      <c r="Q44" s="9" t="n">
        <f aca="false">LEN(P44)-LEN(SUBSTITUTE(P44,CHAR(10),""))+1</f>
        <v>6</v>
      </c>
      <c r="R44" s="11" t="s">
        <v>404</v>
      </c>
      <c r="S44" s="11" t="s">
        <v>329</v>
      </c>
      <c r="T44" s="13" t="s">
        <v>65</v>
      </c>
    </row>
    <row r="45" customFormat="false" ht="90" hidden="false" customHeight="true" outlineLevel="0" collapsed="false">
      <c r="A45" s="9" t="n">
        <v>44</v>
      </c>
      <c r="B45" s="18" t="s">
        <v>31</v>
      </c>
      <c r="C45" s="18" t="s">
        <v>125</v>
      </c>
      <c r="D45" s="11" t="s">
        <v>405</v>
      </c>
      <c r="E45" s="11" t="s">
        <v>406</v>
      </c>
      <c r="F45" s="11" t="s">
        <v>407</v>
      </c>
      <c r="G45" s="11" t="s">
        <v>408</v>
      </c>
      <c r="H45" s="12" t="n">
        <f aca="false">LEN(G45)</f>
        <v>47</v>
      </c>
      <c r="I45" s="11" t="s">
        <v>409</v>
      </c>
      <c r="J45" s="12" t="n">
        <f aca="false">LEN(I45)</f>
        <v>133</v>
      </c>
      <c r="K45" s="13" t="n">
        <v>800</v>
      </c>
      <c r="L45" s="13" t="n">
        <v>1200</v>
      </c>
      <c r="M45" s="13" t="n">
        <v>837</v>
      </c>
      <c r="N45" s="9" t="str">
        <f aca="false">IF(AND(M45&gt;=K45,M45&lt;=L45),"OK","Check")</f>
        <v>OK</v>
      </c>
      <c r="O45" s="11" t="s">
        <v>410</v>
      </c>
      <c r="P45" s="11" t="s">
        <v>411</v>
      </c>
      <c r="Q45" s="9" t="n">
        <f aca="false">LEN(P45)-LEN(SUBSTITUTE(P45,CHAR(10),""))+1</f>
        <v>6</v>
      </c>
      <c r="R45" s="11" t="s">
        <v>372</v>
      </c>
      <c r="S45" s="11" t="s">
        <v>293</v>
      </c>
      <c r="T45" s="13" t="s">
        <v>65</v>
      </c>
    </row>
    <row r="46" customFormat="false" ht="90" hidden="false" customHeight="true" outlineLevel="0" collapsed="false">
      <c r="A46" s="9" t="n">
        <v>45</v>
      </c>
      <c r="B46" s="18" t="s">
        <v>31</v>
      </c>
      <c r="C46" s="18" t="s">
        <v>125</v>
      </c>
      <c r="D46" s="11" t="s">
        <v>412</v>
      </c>
      <c r="E46" s="11" t="s">
        <v>413</v>
      </c>
      <c r="F46" s="11" t="s">
        <v>414</v>
      </c>
      <c r="G46" s="11" t="s">
        <v>415</v>
      </c>
      <c r="H46" s="12" t="n">
        <f aca="false">LEN(G46)</f>
        <v>46</v>
      </c>
      <c r="I46" s="11" t="s">
        <v>416</v>
      </c>
      <c r="J46" s="12" t="n">
        <f aca="false">LEN(I46)</f>
        <v>132</v>
      </c>
      <c r="K46" s="13" t="n">
        <v>800</v>
      </c>
      <c r="L46" s="13" t="n">
        <v>1200</v>
      </c>
      <c r="M46" s="13" t="n">
        <v>873</v>
      </c>
      <c r="N46" s="9" t="str">
        <f aca="false">IF(AND(M46&gt;=K46,M46&lt;=L46),"OK","Check")</f>
        <v>OK</v>
      </c>
      <c r="O46" s="11" t="s">
        <v>417</v>
      </c>
      <c r="P46" s="11" t="s">
        <v>418</v>
      </c>
      <c r="Q46" s="9" t="n">
        <f aca="false">LEN(P46)-LEN(SUBSTITUTE(P46,CHAR(10),""))+1</f>
        <v>7</v>
      </c>
      <c r="R46" s="11" t="s">
        <v>380</v>
      </c>
      <c r="S46" s="11" t="s">
        <v>302</v>
      </c>
      <c r="T46" s="13" t="s">
        <v>65</v>
      </c>
    </row>
    <row r="47" customFormat="false" ht="90" hidden="false" customHeight="true" outlineLevel="0" collapsed="false">
      <c r="A47" s="9" t="n">
        <v>46</v>
      </c>
      <c r="B47" s="18" t="s">
        <v>31</v>
      </c>
      <c r="C47" s="18" t="s">
        <v>125</v>
      </c>
      <c r="D47" s="11" t="s">
        <v>419</v>
      </c>
      <c r="E47" s="11" t="s">
        <v>420</v>
      </c>
      <c r="F47" s="11" t="s">
        <v>421</v>
      </c>
      <c r="G47" s="11" t="s">
        <v>422</v>
      </c>
      <c r="H47" s="12" t="n">
        <f aca="false">LEN(G47)</f>
        <v>42</v>
      </c>
      <c r="I47" s="11" t="s">
        <v>423</v>
      </c>
      <c r="J47" s="12" t="n">
        <f aca="false">LEN(I47)</f>
        <v>128</v>
      </c>
      <c r="K47" s="13" t="n">
        <v>800</v>
      </c>
      <c r="L47" s="13" t="n">
        <v>1200</v>
      </c>
      <c r="M47" s="13" t="n">
        <v>838</v>
      </c>
      <c r="N47" s="9" t="str">
        <f aca="false">IF(AND(M47&gt;=K47,M47&lt;=L47),"OK","Check")</f>
        <v>OK</v>
      </c>
      <c r="O47" s="11" t="s">
        <v>424</v>
      </c>
      <c r="P47" s="11" t="s">
        <v>425</v>
      </c>
      <c r="Q47" s="9" t="n">
        <f aca="false">LEN(P47)-LEN(SUBSTITUTE(P47,CHAR(10),""))+1</f>
        <v>7</v>
      </c>
      <c r="R47" s="11" t="s">
        <v>388</v>
      </c>
      <c r="S47" s="11" t="s">
        <v>311</v>
      </c>
      <c r="T47" s="13" t="s">
        <v>65</v>
      </c>
    </row>
    <row r="48" customFormat="false" ht="90" hidden="false" customHeight="true" outlineLevel="0" collapsed="false">
      <c r="A48" s="9" t="n">
        <v>47</v>
      </c>
      <c r="B48" s="18" t="s">
        <v>31</v>
      </c>
      <c r="C48" s="18" t="s">
        <v>125</v>
      </c>
      <c r="D48" s="11" t="s">
        <v>426</v>
      </c>
      <c r="E48" s="11" t="s">
        <v>427</v>
      </c>
      <c r="F48" s="11" t="s">
        <v>428</v>
      </c>
      <c r="G48" s="11" t="s">
        <v>429</v>
      </c>
      <c r="H48" s="12" t="n">
        <f aca="false">LEN(G48)</f>
        <v>44</v>
      </c>
      <c r="I48" s="11" t="s">
        <v>430</v>
      </c>
      <c r="J48" s="12" t="n">
        <f aca="false">LEN(I48)</f>
        <v>130</v>
      </c>
      <c r="K48" s="13" t="n">
        <v>800</v>
      </c>
      <c r="L48" s="13" t="n">
        <v>1200</v>
      </c>
      <c r="M48" s="13" t="n">
        <v>830</v>
      </c>
      <c r="N48" s="9" t="str">
        <f aca="false">IF(AND(M48&gt;=K48,M48&lt;=L48),"OK","Check")</f>
        <v>OK</v>
      </c>
      <c r="O48" s="11" t="s">
        <v>431</v>
      </c>
      <c r="P48" s="11" t="s">
        <v>432</v>
      </c>
      <c r="Q48" s="9" t="n">
        <f aca="false">LEN(P48)-LEN(SUBSTITUTE(P48,CHAR(10),""))+1</f>
        <v>6</v>
      </c>
      <c r="R48" s="11" t="s">
        <v>396</v>
      </c>
      <c r="S48" s="11" t="s">
        <v>320</v>
      </c>
      <c r="T48" s="13" t="s">
        <v>65</v>
      </c>
    </row>
    <row r="49" customFormat="false" ht="90" hidden="false" customHeight="true" outlineLevel="0" collapsed="false">
      <c r="A49" s="9" t="n">
        <v>48</v>
      </c>
      <c r="B49" s="18" t="s">
        <v>31</v>
      </c>
      <c r="C49" s="18" t="s">
        <v>125</v>
      </c>
      <c r="D49" s="11" t="s">
        <v>433</v>
      </c>
      <c r="E49" s="11" t="s">
        <v>434</v>
      </c>
      <c r="F49" s="11" t="s">
        <v>435</v>
      </c>
      <c r="G49" s="11" t="s">
        <v>436</v>
      </c>
      <c r="H49" s="12" t="n">
        <f aca="false">LEN(G49)</f>
        <v>46</v>
      </c>
      <c r="I49" s="11" t="s">
        <v>437</v>
      </c>
      <c r="J49" s="12" t="n">
        <f aca="false">LEN(I49)</f>
        <v>132</v>
      </c>
      <c r="K49" s="13" t="n">
        <v>800</v>
      </c>
      <c r="L49" s="13" t="n">
        <v>1200</v>
      </c>
      <c r="M49" s="13" t="n">
        <v>878</v>
      </c>
      <c r="N49" s="9" t="str">
        <f aca="false">IF(AND(M49&gt;=K49,M49&lt;=L49),"OK","Check")</f>
        <v>OK</v>
      </c>
      <c r="O49" s="11" t="s">
        <v>438</v>
      </c>
      <c r="P49" s="11" t="s">
        <v>439</v>
      </c>
      <c r="Q49" s="9" t="n">
        <f aca="false">LEN(P49)-LEN(SUBSTITUTE(P49,CHAR(10),""))+1</f>
        <v>6</v>
      </c>
      <c r="R49" s="11" t="s">
        <v>404</v>
      </c>
      <c r="S49" s="11" t="s">
        <v>329</v>
      </c>
      <c r="T49" s="13" t="s">
        <v>65</v>
      </c>
    </row>
    <row r="50" customFormat="false" ht="90" hidden="false" customHeight="true" outlineLevel="0" collapsed="false">
      <c r="A50" s="9" t="n">
        <v>49</v>
      </c>
      <c r="B50" s="18" t="s">
        <v>31</v>
      </c>
      <c r="C50" s="18" t="s">
        <v>132</v>
      </c>
      <c r="D50" s="11" t="s">
        <v>440</v>
      </c>
      <c r="E50" s="11" t="s">
        <v>441</v>
      </c>
      <c r="F50" s="11" t="s">
        <v>442</v>
      </c>
      <c r="G50" s="11" t="s">
        <v>443</v>
      </c>
      <c r="H50" s="12" t="n">
        <f aca="false">LEN(G50)</f>
        <v>52</v>
      </c>
      <c r="I50" s="11" t="s">
        <v>444</v>
      </c>
      <c r="J50" s="12" t="n">
        <f aca="false">LEN(I50)</f>
        <v>143</v>
      </c>
      <c r="K50" s="13" t="n">
        <v>800</v>
      </c>
      <c r="L50" s="13" t="n">
        <v>1200</v>
      </c>
      <c r="M50" s="13" t="n">
        <v>862</v>
      </c>
      <c r="N50" s="9" t="str">
        <f aca="false">IF(AND(M50&gt;=K50,M50&lt;=L50),"OK","Check")</f>
        <v>OK</v>
      </c>
      <c r="O50" s="11" t="s">
        <v>445</v>
      </c>
      <c r="P50" s="11" t="s">
        <v>446</v>
      </c>
      <c r="Q50" s="9" t="n">
        <f aca="false">LEN(P50)-LEN(SUBSTITUTE(P50,CHAR(10),""))+1</f>
        <v>6</v>
      </c>
      <c r="R50" s="11" t="s">
        <v>447</v>
      </c>
      <c r="S50" s="11" t="s">
        <v>293</v>
      </c>
      <c r="T50" s="13" t="s">
        <v>65</v>
      </c>
    </row>
    <row r="51" customFormat="false" ht="90" hidden="false" customHeight="true" outlineLevel="0" collapsed="false">
      <c r="A51" s="9" t="n">
        <v>50</v>
      </c>
      <c r="B51" s="18" t="s">
        <v>31</v>
      </c>
      <c r="C51" s="18" t="s">
        <v>132</v>
      </c>
      <c r="D51" s="11" t="s">
        <v>448</v>
      </c>
      <c r="E51" s="11" t="s">
        <v>449</v>
      </c>
      <c r="F51" s="11" t="s">
        <v>450</v>
      </c>
      <c r="G51" s="11" t="s">
        <v>451</v>
      </c>
      <c r="H51" s="12" t="n">
        <f aca="false">LEN(G51)</f>
        <v>51</v>
      </c>
      <c r="I51" s="11" t="s">
        <v>452</v>
      </c>
      <c r="J51" s="12" t="n">
        <f aca="false">LEN(I51)</f>
        <v>142</v>
      </c>
      <c r="K51" s="13" t="n">
        <v>800</v>
      </c>
      <c r="L51" s="13" t="n">
        <v>1200</v>
      </c>
      <c r="M51" s="13" t="n">
        <v>854</v>
      </c>
      <c r="N51" s="9" t="str">
        <f aca="false">IF(AND(M51&gt;=K51,M51&lt;=L51),"OK","Check")</f>
        <v>OK</v>
      </c>
      <c r="O51" s="11" t="s">
        <v>453</v>
      </c>
      <c r="P51" s="11" t="s">
        <v>454</v>
      </c>
      <c r="Q51" s="9" t="n">
        <f aca="false">LEN(P51)-LEN(SUBSTITUTE(P51,CHAR(10),""))+1</f>
        <v>7</v>
      </c>
      <c r="R51" s="11" t="s">
        <v>455</v>
      </c>
      <c r="S51" s="11" t="s">
        <v>302</v>
      </c>
      <c r="T51" s="13" t="s">
        <v>65</v>
      </c>
    </row>
    <row r="52" customFormat="false" ht="90" hidden="false" customHeight="true" outlineLevel="0" collapsed="false">
      <c r="A52" s="9" t="n">
        <v>51</v>
      </c>
      <c r="B52" s="18" t="s">
        <v>31</v>
      </c>
      <c r="C52" s="18" t="s">
        <v>132</v>
      </c>
      <c r="D52" s="11" t="s">
        <v>456</v>
      </c>
      <c r="E52" s="11" t="s">
        <v>457</v>
      </c>
      <c r="F52" s="11" t="s">
        <v>458</v>
      </c>
      <c r="G52" s="11" t="s">
        <v>459</v>
      </c>
      <c r="H52" s="12" t="n">
        <f aca="false">LEN(G52)</f>
        <v>47</v>
      </c>
      <c r="I52" s="11" t="s">
        <v>460</v>
      </c>
      <c r="J52" s="12" t="n">
        <f aca="false">LEN(I52)</f>
        <v>138</v>
      </c>
      <c r="K52" s="13" t="n">
        <v>800</v>
      </c>
      <c r="L52" s="13" t="n">
        <v>1200</v>
      </c>
      <c r="M52" s="13" t="n">
        <v>861</v>
      </c>
      <c r="N52" s="9" t="str">
        <f aca="false">IF(AND(M52&gt;=K52,M52&lt;=L52),"OK","Check")</f>
        <v>OK</v>
      </c>
      <c r="O52" s="11" t="s">
        <v>461</v>
      </c>
      <c r="P52" s="11" t="s">
        <v>462</v>
      </c>
      <c r="Q52" s="9" t="n">
        <f aca="false">LEN(P52)-LEN(SUBSTITUTE(P52,CHAR(10),""))+1</f>
        <v>7</v>
      </c>
      <c r="R52" s="11" t="s">
        <v>463</v>
      </c>
      <c r="S52" s="11" t="s">
        <v>311</v>
      </c>
      <c r="T52" s="13" t="s">
        <v>65</v>
      </c>
    </row>
    <row r="53" customFormat="false" ht="90" hidden="false" customHeight="true" outlineLevel="0" collapsed="false">
      <c r="A53" s="9" t="n">
        <v>52</v>
      </c>
      <c r="B53" s="18" t="s">
        <v>31</v>
      </c>
      <c r="C53" s="18" t="s">
        <v>132</v>
      </c>
      <c r="D53" s="11" t="s">
        <v>464</v>
      </c>
      <c r="E53" s="11" t="s">
        <v>465</v>
      </c>
      <c r="F53" s="11" t="s">
        <v>466</v>
      </c>
      <c r="G53" s="11" t="s">
        <v>467</v>
      </c>
      <c r="H53" s="12" t="n">
        <f aca="false">LEN(G53)</f>
        <v>49</v>
      </c>
      <c r="I53" s="11" t="s">
        <v>468</v>
      </c>
      <c r="J53" s="12" t="n">
        <f aca="false">LEN(I53)</f>
        <v>140</v>
      </c>
      <c r="K53" s="13" t="n">
        <v>800</v>
      </c>
      <c r="L53" s="13" t="n">
        <v>1200</v>
      </c>
      <c r="M53" s="13" t="n">
        <v>852</v>
      </c>
      <c r="N53" s="9" t="str">
        <f aca="false">IF(AND(M53&gt;=K53,M53&lt;=L53),"OK","Check")</f>
        <v>OK</v>
      </c>
      <c r="O53" s="11" t="s">
        <v>469</v>
      </c>
      <c r="P53" s="11" t="s">
        <v>470</v>
      </c>
      <c r="Q53" s="9" t="n">
        <f aca="false">LEN(P53)-LEN(SUBSTITUTE(P53,CHAR(10),""))+1</f>
        <v>6</v>
      </c>
      <c r="R53" s="11" t="s">
        <v>471</v>
      </c>
      <c r="S53" s="11" t="s">
        <v>320</v>
      </c>
      <c r="T53" s="13" t="s">
        <v>65</v>
      </c>
    </row>
    <row r="54" customFormat="false" ht="90" hidden="false" customHeight="true" outlineLevel="0" collapsed="false">
      <c r="A54" s="9" t="n">
        <v>53</v>
      </c>
      <c r="B54" s="18" t="s">
        <v>31</v>
      </c>
      <c r="C54" s="18" t="s">
        <v>132</v>
      </c>
      <c r="D54" s="11" t="s">
        <v>472</v>
      </c>
      <c r="E54" s="11" t="s">
        <v>473</v>
      </c>
      <c r="F54" s="11" t="s">
        <v>474</v>
      </c>
      <c r="G54" s="11" t="s">
        <v>475</v>
      </c>
      <c r="H54" s="12" t="n">
        <f aca="false">LEN(G54)</f>
        <v>51</v>
      </c>
      <c r="I54" s="11" t="s">
        <v>476</v>
      </c>
      <c r="J54" s="12" t="n">
        <f aca="false">LEN(I54)</f>
        <v>142</v>
      </c>
      <c r="K54" s="13" t="n">
        <v>800</v>
      </c>
      <c r="L54" s="13" t="n">
        <v>1200</v>
      </c>
      <c r="M54" s="13" t="n">
        <v>850</v>
      </c>
      <c r="N54" s="9" t="str">
        <f aca="false">IF(AND(M54&gt;=K54,M54&lt;=L54),"OK","Check")</f>
        <v>OK</v>
      </c>
      <c r="O54" s="11" t="s">
        <v>477</v>
      </c>
      <c r="P54" s="11" t="s">
        <v>478</v>
      </c>
      <c r="Q54" s="9" t="n">
        <f aca="false">LEN(P54)-LEN(SUBSTITUTE(P54,CHAR(10),""))+1</f>
        <v>6</v>
      </c>
      <c r="R54" s="11" t="s">
        <v>479</v>
      </c>
      <c r="S54" s="11" t="s">
        <v>329</v>
      </c>
      <c r="T54" s="13" t="s">
        <v>65</v>
      </c>
    </row>
    <row r="55" customFormat="false" ht="90" hidden="false" customHeight="true" outlineLevel="0" collapsed="false">
      <c r="A55" s="9" t="n">
        <v>54</v>
      </c>
      <c r="B55" s="18" t="s">
        <v>31</v>
      </c>
      <c r="C55" s="18" t="s">
        <v>140</v>
      </c>
      <c r="D55" s="11" t="s">
        <v>480</v>
      </c>
      <c r="E55" s="11" t="s">
        <v>481</v>
      </c>
      <c r="F55" s="11" t="s">
        <v>482</v>
      </c>
      <c r="G55" s="11" t="s">
        <v>483</v>
      </c>
      <c r="H55" s="12" t="n">
        <f aca="false">LEN(G55)</f>
        <v>46</v>
      </c>
      <c r="I55" s="11" t="s">
        <v>484</v>
      </c>
      <c r="J55" s="12" t="n">
        <f aca="false">LEN(I55)</f>
        <v>134</v>
      </c>
      <c r="K55" s="13" t="n">
        <v>800</v>
      </c>
      <c r="L55" s="13" t="n">
        <v>1200</v>
      </c>
      <c r="M55" s="13" t="n">
        <v>841</v>
      </c>
      <c r="N55" s="9" t="str">
        <f aca="false">IF(AND(M55&gt;=K55,M55&lt;=L55),"OK","Check")</f>
        <v>OK</v>
      </c>
      <c r="O55" s="11" t="s">
        <v>485</v>
      </c>
      <c r="P55" s="11" t="s">
        <v>486</v>
      </c>
      <c r="Q55" s="9" t="n">
        <f aca="false">LEN(P55)-LEN(SUBSTITUTE(P55,CHAR(10),""))+1</f>
        <v>6</v>
      </c>
      <c r="R55" s="11" t="s">
        <v>487</v>
      </c>
      <c r="S55" s="11" t="s">
        <v>293</v>
      </c>
      <c r="T55" s="13" t="s">
        <v>65</v>
      </c>
    </row>
    <row r="56" customFormat="false" ht="90" hidden="false" customHeight="true" outlineLevel="0" collapsed="false">
      <c r="A56" s="9" t="n">
        <v>55</v>
      </c>
      <c r="B56" s="18" t="s">
        <v>31</v>
      </c>
      <c r="C56" s="18" t="s">
        <v>140</v>
      </c>
      <c r="D56" s="11" t="s">
        <v>488</v>
      </c>
      <c r="E56" s="11" t="s">
        <v>489</v>
      </c>
      <c r="F56" s="11" t="s">
        <v>490</v>
      </c>
      <c r="G56" s="11" t="s">
        <v>491</v>
      </c>
      <c r="H56" s="12" t="n">
        <f aca="false">LEN(G56)</f>
        <v>45</v>
      </c>
      <c r="I56" s="11" t="s">
        <v>492</v>
      </c>
      <c r="J56" s="12" t="n">
        <f aca="false">LEN(I56)</f>
        <v>133</v>
      </c>
      <c r="K56" s="13" t="n">
        <v>800</v>
      </c>
      <c r="L56" s="13" t="n">
        <v>1200</v>
      </c>
      <c r="M56" s="13" t="n">
        <v>924</v>
      </c>
      <c r="N56" s="9" t="str">
        <f aca="false">IF(AND(M56&gt;=K56,M56&lt;=L56),"OK","Check")</f>
        <v>OK</v>
      </c>
      <c r="O56" s="11" t="s">
        <v>493</v>
      </c>
      <c r="P56" s="11" t="s">
        <v>494</v>
      </c>
      <c r="Q56" s="9" t="n">
        <f aca="false">LEN(P56)-LEN(SUBSTITUTE(P56,CHAR(10),""))+1</f>
        <v>7</v>
      </c>
      <c r="R56" s="11" t="s">
        <v>495</v>
      </c>
      <c r="S56" s="11" t="s">
        <v>302</v>
      </c>
      <c r="T56" s="13" t="s">
        <v>65</v>
      </c>
    </row>
    <row r="57" customFormat="false" ht="90" hidden="false" customHeight="true" outlineLevel="0" collapsed="false">
      <c r="A57" s="9" t="n">
        <v>56</v>
      </c>
      <c r="B57" s="18" t="s">
        <v>31</v>
      </c>
      <c r="C57" s="18" t="s">
        <v>140</v>
      </c>
      <c r="D57" s="11" t="s">
        <v>496</v>
      </c>
      <c r="E57" s="11" t="s">
        <v>497</v>
      </c>
      <c r="F57" s="11" t="s">
        <v>498</v>
      </c>
      <c r="G57" s="11" t="s">
        <v>499</v>
      </c>
      <c r="H57" s="12" t="n">
        <f aca="false">LEN(G57)</f>
        <v>41</v>
      </c>
      <c r="I57" s="11" t="s">
        <v>500</v>
      </c>
      <c r="J57" s="12" t="n">
        <f aca="false">LEN(I57)</f>
        <v>129</v>
      </c>
      <c r="K57" s="13" t="n">
        <v>800</v>
      </c>
      <c r="L57" s="13" t="n">
        <v>1200</v>
      </c>
      <c r="M57" s="13" t="n">
        <v>840</v>
      </c>
      <c r="N57" s="9" t="str">
        <f aca="false">IF(AND(M57&gt;=K57,M57&lt;=L57),"OK","Check")</f>
        <v>OK</v>
      </c>
      <c r="O57" s="11" t="s">
        <v>501</v>
      </c>
      <c r="P57" s="11" t="s">
        <v>502</v>
      </c>
      <c r="Q57" s="9" t="n">
        <f aca="false">LEN(P57)-LEN(SUBSTITUTE(P57,CHAR(10),""))+1</f>
        <v>7</v>
      </c>
      <c r="R57" s="11" t="s">
        <v>503</v>
      </c>
      <c r="S57" s="11" t="s">
        <v>311</v>
      </c>
      <c r="T57" s="13" t="s">
        <v>65</v>
      </c>
    </row>
    <row r="58" customFormat="false" ht="90" hidden="false" customHeight="true" outlineLevel="0" collapsed="false">
      <c r="A58" s="9" t="n">
        <v>57</v>
      </c>
      <c r="B58" s="18" t="s">
        <v>31</v>
      </c>
      <c r="C58" s="18" t="s">
        <v>140</v>
      </c>
      <c r="D58" s="11" t="s">
        <v>504</v>
      </c>
      <c r="E58" s="11" t="s">
        <v>505</v>
      </c>
      <c r="F58" s="11" t="s">
        <v>506</v>
      </c>
      <c r="G58" s="11" t="s">
        <v>507</v>
      </c>
      <c r="H58" s="12" t="n">
        <f aca="false">LEN(G58)</f>
        <v>43</v>
      </c>
      <c r="I58" s="11" t="s">
        <v>508</v>
      </c>
      <c r="J58" s="12" t="n">
        <f aca="false">LEN(I58)</f>
        <v>131</v>
      </c>
      <c r="K58" s="13" t="n">
        <v>800</v>
      </c>
      <c r="L58" s="13" t="n">
        <v>1200</v>
      </c>
      <c r="M58" s="13" t="n">
        <v>836</v>
      </c>
      <c r="N58" s="9" t="str">
        <f aca="false">IF(AND(M58&gt;=K58,M58&lt;=L58),"OK","Check")</f>
        <v>OK</v>
      </c>
      <c r="O58" s="11" t="s">
        <v>509</v>
      </c>
      <c r="P58" s="11" t="s">
        <v>510</v>
      </c>
      <c r="Q58" s="9" t="n">
        <f aca="false">LEN(P58)-LEN(SUBSTITUTE(P58,CHAR(10),""))+1</f>
        <v>6</v>
      </c>
      <c r="R58" s="11" t="s">
        <v>511</v>
      </c>
      <c r="S58" s="11" t="s">
        <v>320</v>
      </c>
      <c r="T58" s="13" t="s">
        <v>65</v>
      </c>
    </row>
    <row r="59" customFormat="false" ht="90" hidden="false" customHeight="true" outlineLevel="0" collapsed="false">
      <c r="A59" s="9" t="n">
        <v>58</v>
      </c>
      <c r="B59" s="18" t="s">
        <v>31</v>
      </c>
      <c r="C59" s="18" t="s">
        <v>140</v>
      </c>
      <c r="D59" s="11" t="s">
        <v>512</v>
      </c>
      <c r="E59" s="11" t="s">
        <v>513</v>
      </c>
      <c r="F59" s="11" t="s">
        <v>514</v>
      </c>
      <c r="G59" s="11" t="s">
        <v>515</v>
      </c>
      <c r="H59" s="12" t="n">
        <f aca="false">LEN(G59)</f>
        <v>45</v>
      </c>
      <c r="I59" s="11" t="s">
        <v>516</v>
      </c>
      <c r="J59" s="12" t="n">
        <f aca="false">LEN(I59)</f>
        <v>133</v>
      </c>
      <c r="K59" s="13" t="n">
        <v>800</v>
      </c>
      <c r="L59" s="13" t="n">
        <v>1200</v>
      </c>
      <c r="M59" s="13" t="n">
        <v>922</v>
      </c>
      <c r="N59" s="9" t="str">
        <f aca="false">IF(AND(M59&gt;=K59,M59&lt;=L59),"OK","Check")</f>
        <v>OK</v>
      </c>
      <c r="O59" s="11" t="s">
        <v>517</v>
      </c>
      <c r="P59" s="11" t="s">
        <v>518</v>
      </c>
      <c r="Q59" s="9" t="n">
        <f aca="false">LEN(P59)-LEN(SUBSTITUTE(P59,CHAR(10),""))+1</f>
        <v>6</v>
      </c>
      <c r="R59" s="11" t="s">
        <v>519</v>
      </c>
      <c r="S59" s="11" t="s">
        <v>329</v>
      </c>
      <c r="T59" s="13" t="s">
        <v>65</v>
      </c>
    </row>
    <row r="60" customFormat="false" ht="90" hidden="false" customHeight="true" outlineLevel="0" collapsed="false">
      <c r="A60" s="9" t="n">
        <v>59</v>
      </c>
      <c r="B60" s="18" t="s">
        <v>31</v>
      </c>
      <c r="C60" s="18" t="s">
        <v>148</v>
      </c>
      <c r="D60" s="11" t="s">
        <v>520</v>
      </c>
      <c r="E60" s="11" t="s">
        <v>521</v>
      </c>
      <c r="F60" s="11" t="s">
        <v>522</v>
      </c>
      <c r="G60" s="11" t="s">
        <v>523</v>
      </c>
      <c r="H60" s="12" t="n">
        <f aca="false">LEN(G60)</f>
        <v>55</v>
      </c>
      <c r="I60" s="11" t="s">
        <v>524</v>
      </c>
      <c r="J60" s="12" t="n">
        <f aca="false">LEN(I60)</f>
        <v>138</v>
      </c>
      <c r="K60" s="13" t="n">
        <v>800</v>
      </c>
      <c r="L60" s="13" t="n">
        <v>1200</v>
      </c>
      <c r="M60" s="13" t="n">
        <v>845</v>
      </c>
      <c r="N60" s="9" t="str">
        <f aca="false">IF(AND(M60&gt;=K60,M60&lt;=L60),"OK","Check")</f>
        <v>OK</v>
      </c>
      <c r="O60" s="11" t="s">
        <v>525</v>
      </c>
      <c r="P60" s="11" t="s">
        <v>526</v>
      </c>
      <c r="Q60" s="9" t="n">
        <f aca="false">LEN(P60)-LEN(SUBSTITUTE(P60,CHAR(10),""))+1</f>
        <v>6</v>
      </c>
      <c r="R60" s="11" t="s">
        <v>487</v>
      </c>
      <c r="S60" s="11" t="s">
        <v>293</v>
      </c>
      <c r="T60" s="13" t="s">
        <v>65</v>
      </c>
    </row>
    <row r="61" customFormat="false" ht="90" hidden="false" customHeight="true" outlineLevel="0" collapsed="false">
      <c r="A61" s="9" t="n">
        <v>60</v>
      </c>
      <c r="B61" s="18" t="s">
        <v>31</v>
      </c>
      <c r="C61" s="18" t="s">
        <v>148</v>
      </c>
      <c r="D61" s="11" t="s">
        <v>527</v>
      </c>
      <c r="E61" s="11" t="s">
        <v>528</v>
      </c>
      <c r="F61" s="11" t="s">
        <v>529</v>
      </c>
      <c r="G61" s="11" t="s">
        <v>530</v>
      </c>
      <c r="H61" s="12" t="n">
        <f aca="false">LEN(G61)</f>
        <v>54</v>
      </c>
      <c r="I61" s="11" t="s">
        <v>531</v>
      </c>
      <c r="J61" s="12" t="n">
        <f aca="false">LEN(I61)</f>
        <v>137</v>
      </c>
      <c r="K61" s="13" t="n">
        <v>800</v>
      </c>
      <c r="L61" s="13" t="n">
        <v>1200</v>
      </c>
      <c r="M61" s="13" t="n">
        <v>928</v>
      </c>
      <c r="N61" s="9" t="str">
        <f aca="false">IF(AND(M61&gt;=K61,M61&lt;=L61),"OK","Check")</f>
        <v>OK</v>
      </c>
      <c r="O61" s="11" t="s">
        <v>532</v>
      </c>
      <c r="P61" s="11" t="s">
        <v>533</v>
      </c>
      <c r="Q61" s="9" t="n">
        <f aca="false">LEN(P61)-LEN(SUBSTITUTE(P61,CHAR(10),""))+1</f>
        <v>7</v>
      </c>
      <c r="R61" s="11" t="s">
        <v>495</v>
      </c>
      <c r="S61" s="11" t="s">
        <v>302</v>
      </c>
      <c r="T61" s="13" t="s">
        <v>65</v>
      </c>
    </row>
    <row r="62" customFormat="false" ht="90" hidden="false" customHeight="true" outlineLevel="0" collapsed="false">
      <c r="A62" s="9" t="n">
        <v>61</v>
      </c>
      <c r="B62" s="18" t="s">
        <v>31</v>
      </c>
      <c r="C62" s="18" t="s">
        <v>148</v>
      </c>
      <c r="D62" s="11" t="s">
        <v>534</v>
      </c>
      <c r="E62" s="11" t="s">
        <v>535</v>
      </c>
      <c r="F62" s="11" t="s">
        <v>536</v>
      </c>
      <c r="G62" s="11" t="s">
        <v>537</v>
      </c>
      <c r="H62" s="12" t="n">
        <f aca="false">LEN(G62)</f>
        <v>50</v>
      </c>
      <c r="I62" s="11" t="s">
        <v>538</v>
      </c>
      <c r="J62" s="12" t="n">
        <f aca="false">LEN(I62)</f>
        <v>133</v>
      </c>
      <c r="K62" s="13" t="n">
        <v>800</v>
      </c>
      <c r="L62" s="13" t="n">
        <v>1200</v>
      </c>
      <c r="M62" s="13" t="n">
        <v>844</v>
      </c>
      <c r="N62" s="9" t="str">
        <f aca="false">IF(AND(M62&gt;=K62,M62&lt;=L62),"OK","Check")</f>
        <v>OK</v>
      </c>
      <c r="O62" s="11" t="s">
        <v>539</v>
      </c>
      <c r="P62" s="11" t="s">
        <v>540</v>
      </c>
      <c r="Q62" s="9" t="n">
        <f aca="false">LEN(P62)-LEN(SUBSTITUTE(P62,CHAR(10),""))+1</f>
        <v>7</v>
      </c>
      <c r="R62" s="11" t="s">
        <v>503</v>
      </c>
      <c r="S62" s="11" t="s">
        <v>311</v>
      </c>
      <c r="T62" s="13" t="s">
        <v>65</v>
      </c>
    </row>
    <row r="63" customFormat="false" ht="90" hidden="false" customHeight="true" outlineLevel="0" collapsed="false">
      <c r="A63" s="9" t="n">
        <v>62</v>
      </c>
      <c r="B63" s="18" t="s">
        <v>31</v>
      </c>
      <c r="C63" s="18" t="s">
        <v>148</v>
      </c>
      <c r="D63" s="11" t="s">
        <v>541</v>
      </c>
      <c r="E63" s="11" t="s">
        <v>542</v>
      </c>
      <c r="F63" s="11" t="s">
        <v>543</v>
      </c>
      <c r="G63" s="11" t="s">
        <v>544</v>
      </c>
      <c r="H63" s="12" t="n">
        <f aca="false">LEN(G63)</f>
        <v>52</v>
      </c>
      <c r="I63" s="11" t="s">
        <v>545</v>
      </c>
      <c r="J63" s="12" t="n">
        <f aca="false">LEN(I63)</f>
        <v>135</v>
      </c>
      <c r="K63" s="13" t="n">
        <v>800</v>
      </c>
      <c r="L63" s="13" t="n">
        <v>1200</v>
      </c>
      <c r="M63" s="13" t="n">
        <v>840</v>
      </c>
      <c r="N63" s="9" t="str">
        <f aca="false">IF(AND(M63&gt;=K63,M63&lt;=L63),"OK","Check")</f>
        <v>OK</v>
      </c>
      <c r="O63" s="11" t="s">
        <v>546</v>
      </c>
      <c r="P63" s="11" t="s">
        <v>547</v>
      </c>
      <c r="Q63" s="9" t="n">
        <f aca="false">LEN(P63)-LEN(SUBSTITUTE(P63,CHAR(10),""))+1</f>
        <v>6</v>
      </c>
      <c r="R63" s="11" t="s">
        <v>511</v>
      </c>
      <c r="S63" s="11" t="s">
        <v>320</v>
      </c>
      <c r="T63" s="13" t="s">
        <v>65</v>
      </c>
    </row>
    <row r="64" customFormat="false" ht="90" hidden="false" customHeight="true" outlineLevel="0" collapsed="false">
      <c r="A64" s="9" t="n">
        <v>63</v>
      </c>
      <c r="B64" s="18" t="s">
        <v>31</v>
      </c>
      <c r="C64" s="18" t="s">
        <v>148</v>
      </c>
      <c r="D64" s="11" t="s">
        <v>548</v>
      </c>
      <c r="E64" s="11" t="s">
        <v>549</v>
      </c>
      <c r="F64" s="11" t="s">
        <v>550</v>
      </c>
      <c r="G64" s="11" t="s">
        <v>551</v>
      </c>
      <c r="H64" s="12" t="n">
        <f aca="false">LEN(G64)</f>
        <v>54</v>
      </c>
      <c r="I64" s="11" t="s">
        <v>552</v>
      </c>
      <c r="J64" s="12" t="n">
        <f aca="false">LEN(I64)</f>
        <v>137</v>
      </c>
      <c r="K64" s="13" t="n">
        <v>800</v>
      </c>
      <c r="L64" s="13" t="n">
        <v>1200</v>
      </c>
      <c r="M64" s="13" t="n">
        <v>926</v>
      </c>
      <c r="N64" s="9" t="str">
        <f aca="false">IF(AND(M64&gt;=K64,M64&lt;=L64),"OK","Check")</f>
        <v>OK</v>
      </c>
      <c r="O64" s="11" t="s">
        <v>553</v>
      </c>
      <c r="P64" s="11" t="s">
        <v>554</v>
      </c>
      <c r="Q64" s="9" t="n">
        <f aca="false">LEN(P64)-LEN(SUBSTITUTE(P64,CHAR(10),""))+1</f>
        <v>6</v>
      </c>
      <c r="R64" s="11" t="s">
        <v>519</v>
      </c>
      <c r="S64" s="11" t="s">
        <v>329</v>
      </c>
      <c r="T64" s="13" t="s">
        <v>65</v>
      </c>
    </row>
    <row r="65" customFormat="false" ht="90" hidden="false" customHeight="true" outlineLevel="0" collapsed="false">
      <c r="A65" s="9" t="n">
        <v>64</v>
      </c>
      <c r="B65" s="18" t="s">
        <v>31</v>
      </c>
      <c r="C65" s="18" t="s">
        <v>155</v>
      </c>
      <c r="D65" s="11" t="s">
        <v>555</v>
      </c>
      <c r="E65" s="11" t="s">
        <v>556</v>
      </c>
      <c r="F65" s="11" t="s">
        <v>557</v>
      </c>
      <c r="G65" s="11" t="s">
        <v>558</v>
      </c>
      <c r="H65" s="12" t="n">
        <f aca="false">LEN(G65)</f>
        <v>49</v>
      </c>
      <c r="I65" s="11" t="s">
        <v>559</v>
      </c>
      <c r="J65" s="12" t="n">
        <f aca="false">LEN(I65)</f>
        <v>135</v>
      </c>
      <c r="K65" s="13" t="n">
        <v>800</v>
      </c>
      <c r="L65" s="13" t="n">
        <v>1200</v>
      </c>
      <c r="M65" s="13" t="n">
        <v>923</v>
      </c>
      <c r="N65" s="9" t="str">
        <f aca="false">IF(AND(M65&gt;=K65,M65&lt;=L65),"OK","Check")</f>
        <v>OK</v>
      </c>
      <c r="O65" s="11" t="s">
        <v>560</v>
      </c>
      <c r="P65" s="11" t="s">
        <v>561</v>
      </c>
      <c r="Q65" s="9" t="n">
        <f aca="false">LEN(P65)-LEN(SUBSTITUTE(P65,CHAR(10),""))+1</f>
        <v>6</v>
      </c>
      <c r="R65" s="11" t="s">
        <v>487</v>
      </c>
      <c r="S65" s="11" t="s">
        <v>293</v>
      </c>
      <c r="T65" s="13" t="s">
        <v>65</v>
      </c>
    </row>
    <row r="66" customFormat="false" ht="90" hidden="false" customHeight="true" outlineLevel="0" collapsed="false">
      <c r="A66" s="9" t="n">
        <v>65</v>
      </c>
      <c r="B66" s="18" t="s">
        <v>31</v>
      </c>
      <c r="C66" s="18" t="s">
        <v>155</v>
      </c>
      <c r="D66" s="11" t="s">
        <v>562</v>
      </c>
      <c r="E66" s="11" t="s">
        <v>563</v>
      </c>
      <c r="F66" s="11" t="s">
        <v>564</v>
      </c>
      <c r="G66" s="11" t="s">
        <v>565</v>
      </c>
      <c r="H66" s="12" t="n">
        <f aca="false">LEN(G66)</f>
        <v>48</v>
      </c>
      <c r="I66" s="11" t="s">
        <v>566</v>
      </c>
      <c r="J66" s="12" t="n">
        <f aca="false">LEN(I66)</f>
        <v>134</v>
      </c>
      <c r="K66" s="13" t="n">
        <v>800</v>
      </c>
      <c r="L66" s="13" t="n">
        <v>1200</v>
      </c>
      <c r="M66" s="13" t="n">
        <v>887</v>
      </c>
      <c r="N66" s="9" t="str">
        <f aca="false">IF(AND(M66&gt;=K66,M66&lt;=L66),"OK","Check")</f>
        <v>OK</v>
      </c>
      <c r="O66" s="11" t="s">
        <v>567</v>
      </c>
      <c r="P66" s="11" t="s">
        <v>568</v>
      </c>
      <c r="Q66" s="9" t="n">
        <f aca="false">LEN(P66)-LEN(SUBSTITUTE(P66,CHAR(10),""))+1</f>
        <v>7</v>
      </c>
      <c r="R66" s="11" t="s">
        <v>495</v>
      </c>
      <c r="S66" s="11" t="s">
        <v>302</v>
      </c>
      <c r="T66" s="13" t="s">
        <v>65</v>
      </c>
    </row>
    <row r="67" customFormat="false" ht="90" hidden="false" customHeight="true" outlineLevel="0" collapsed="false">
      <c r="A67" s="9" t="n">
        <v>66</v>
      </c>
      <c r="B67" s="18" t="s">
        <v>31</v>
      </c>
      <c r="C67" s="18" t="s">
        <v>155</v>
      </c>
      <c r="D67" s="11" t="s">
        <v>569</v>
      </c>
      <c r="E67" s="11" t="s">
        <v>570</v>
      </c>
      <c r="F67" s="11" t="s">
        <v>571</v>
      </c>
      <c r="G67" s="11" t="s">
        <v>572</v>
      </c>
      <c r="H67" s="12" t="n">
        <f aca="false">LEN(G67)</f>
        <v>44</v>
      </c>
      <c r="I67" s="11" t="s">
        <v>573</v>
      </c>
      <c r="J67" s="12" t="n">
        <f aca="false">LEN(I67)</f>
        <v>130</v>
      </c>
      <c r="K67" s="13" t="n">
        <v>800</v>
      </c>
      <c r="L67" s="13" t="n">
        <v>1200</v>
      </c>
      <c r="M67" s="13" t="n">
        <v>914</v>
      </c>
      <c r="N67" s="9" t="str">
        <f aca="false">IF(AND(M67&gt;=K67,M67&lt;=L67),"OK","Check")</f>
        <v>OK</v>
      </c>
      <c r="O67" s="11" t="s">
        <v>574</v>
      </c>
      <c r="P67" s="11" t="s">
        <v>575</v>
      </c>
      <c r="Q67" s="9" t="n">
        <f aca="false">LEN(P67)-LEN(SUBSTITUTE(P67,CHAR(10),""))+1</f>
        <v>7</v>
      </c>
      <c r="R67" s="11" t="s">
        <v>503</v>
      </c>
      <c r="S67" s="11" t="s">
        <v>311</v>
      </c>
      <c r="T67" s="13" t="s">
        <v>65</v>
      </c>
    </row>
    <row r="68" customFormat="false" ht="90" hidden="false" customHeight="true" outlineLevel="0" collapsed="false">
      <c r="A68" s="9" t="n">
        <v>67</v>
      </c>
      <c r="B68" s="18" t="s">
        <v>31</v>
      </c>
      <c r="C68" s="18" t="s">
        <v>155</v>
      </c>
      <c r="D68" s="11" t="s">
        <v>576</v>
      </c>
      <c r="E68" s="11" t="s">
        <v>577</v>
      </c>
      <c r="F68" s="11" t="s">
        <v>578</v>
      </c>
      <c r="G68" s="11" t="s">
        <v>579</v>
      </c>
      <c r="H68" s="12" t="n">
        <f aca="false">LEN(G68)</f>
        <v>46</v>
      </c>
      <c r="I68" s="11" t="s">
        <v>580</v>
      </c>
      <c r="J68" s="12" t="n">
        <f aca="false">LEN(I68)</f>
        <v>132</v>
      </c>
      <c r="K68" s="13" t="n">
        <v>800</v>
      </c>
      <c r="L68" s="13" t="n">
        <v>1200</v>
      </c>
      <c r="M68" s="13" t="n">
        <v>907</v>
      </c>
      <c r="N68" s="9" t="str">
        <f aca="false">IF(AND(M68&gt;=K68,M68&lt;=L68),"OK","Check")</f>
        <v>OK</v>
      </c>
      <c r="O68" s="11" t="s">
        <v>581</v>
      </c>
      <c r="P68" s="11" t="s">
        <v>582</v>
      </c>
      <c r="Q68" s="9" t="n">
        <f aca="false">LEN(P68)-LEN(SUBSTITUTE(P68,CHAR(10),""))+1</f>
        <v>6</v>
      </c>
      <c r="R68" s="11" t="s">
        <v>511</v>
      </c>
      <c r="S68" s="11" t="s">
        <v>320</v>
      </c>
      <c r="T68" s="13" t="s">
        <v>65</v>
      </c>
    </row>
    <row r="69" customFormat="false" ht="90" hidden="false" customHeight="true" outlineLevel="0" collapsed="false">
      <c r="A69" s="9" t="n">
        <v>68</v>
      </c>
      <c r="B69" s="18" t="s">
        <v>31</v>
      </c>
      <c r="C69" s="18" t="s">
        <v>155</v>
      </c>
      <c r="D69" s="11" t="s">
        <v>583</v>
      </c>
      <c r="E69" s="11" t="s">
        <v>584</v>
      </c>
      <c r="F69" s="11" t="s">
        <v>585</v>
      </c>
      <c r="G69" s="11" t="s">
        <v>586</v>
      </c>
      <c r="H69" s="12" t="n">
        <f aca="false">LEN(G69)</f>
        <v>48</v>
      </c>
      <c r="I69" s="11" t="s">
        <v>587</v>
      </c>
      <c r="J69" s="12" t="n">
        <f aca="false">LEN(I69)</f>
        <v>134</v>
      </c>
      <c r="K69" s="13" t="n">
        <v>800</v>
      </c>
      <c r="L69" s="13" t="n">
        <v>1200</v>
      </c>
      <c r="M69" s="13" t="n">
        <v>885</v>
      </c>
      <c r="N69" s="9" t="str">
        <f aca="false">IF(AND(M69&gt;=K69,M69&lt;=L69),"OK","Check")</f>
        <v>OK</v>
      </c>
      <c r="O69" s="11" t="s">
        <v>588</v>
      </c>
      <c r="P69" s="11" t="s">
        <v>589</v>
      </c>
      <c r="Q69" s="9" t="n">
        <f aca="false">LEN(P69)-LEN(SUBSTITUTE(P69,CHAR(10),""))+1</f>
        <v>6</v>
      </c>
      <c r="R69" s="11" t="s">
        <v>519</v>
      </c>
      <c r="S69" s="11" t="s">
        <v>329</v>
      </c>
      <c r="T69" s="13" t="s">
        <v>65</v>
      </c>
    </row>
    <row r="70" customFormat="false" ht="90" hidden="false" customHeight="true" outlineLevel="0" collapsed="false">
      <c r="A70" s="9" t="n">
        <v>69</v>
      </c>
      <c r="B70" s="18" t="s">
        <v>31</v>
      </c>
      <c r="C70" s="18" t="s">
        <v>162</v>
      </c>
      <c r="D70" s="11" t="s">
        <v>590</v>
      </c>
      <c r="E70" s="11" t="s">
        <v>591</v>
      </c>
      <c r="F70" s="11" t="s">
        <v>592</v>
      </c>
      <c r="G70" s="11" t="s">
        <v>593</v>
      </c>
      <c r="H70" s="12" t="n">
        <f aca="false">LEN(G70)</f>
        <v>51</v>
      </c>
      <c r="I70" s="11" t="s">
        <v>594</v>
      </c>
      <c r="J70" s="12" t="n">
        <f aca="false">LEN(I70)</f>
        <v>133</v>
      </c>
      <c r="K70" s="13" t="n">
        <v>700</v>
      </c>
      <c r="L70" s="13" t="n">
        <v>1000</v>
      </c>
      <c r="M70" s="13" t="n">
        <v>743</v>
      </c>
      <c r="N70" s="9" t="str">
        <f aca="false">IF(AND(M70&gt;=K70,M70&lt;=L70),"OK","Check")</f>
        <v>OK</v>
      </c>
      <c r="O70" s="11" t="s">
        <v>595</v>
      </c>
      <c r="P70" s="11" t="s">
        <v>596</v>
      </c>
      <c r="Q70" s="9" t="n">
        <f aca="false">LEN(P70)-LEN(SUBSTITUTE(P70,CHAR(10),""))+1</f>
        <v>6</v>
      </c>
      <c r="R70" s="11" t="s">
        <v>487</v>
      </c>
      <c r="S70" s="11" t="s">
        <v>293</v>
      </c>
      <c r="T70" s="13" t="s">
        <v>65</v>
      </c>
    </row>
    <row r="71" customFormat="false" ht="90" hidden="false" customHeight="true" outlineLevel="0" collapsed="false">
      <c r="A71" s="9" t="n">
        <v>70</v>
      </c>
      <c r="B71" s="18" t="s">
        <v>31</v>
      </c>
      <c r="C71" s="18" t="s">
        <v>162</v>
      </c>
      <c r="D71" s="11" t="s">
        <v>597</v>
      </c>
      <c r="E71" s="11" t="s">
        <v>598</v>
      </c>
      <c r="F71" s="11" t="s">
        <v>599</v>
      </c>
      <c r="G71" s="11" t="s">
        <v>600</v>
      </c>
      <c r="H71" s="12" t="n">
        <f aca="false">LEN(G71)</f>
        <v>50</v>
      </c>
      <c r="I71" s="11" t="s">
        <v>601</v>
      </c>
      <c r="J71" s="12" t="n">
        <f aca="false">LEN(I71)</f>
        <v>132</v>
      </c>
      <c r="K71" s="13" t="n">
        <v>700</v>
      </c>
      <c r="L71" s="13" t="n">
        <v>1000</v>
      </c>
      <c r="M71" s="13" t="n">
        <v>779</v>
      </c>
      <c r="N71" s="9" t="str">
        <f aca="false">IF(AND(M71&gt;=K71,M71&lt;=L71),"OK","Check")</f>
        <v>OK</v>
      </c>
      <c r="O71" s="11" t="s">
        <v>602</v>
      </c>
      <c r="P71" s="11" t="s">
        <v>603</v>
      </c>
      <c r="Q71" s="9" t="n">
        <f aca="false">LEN(P71)-LEN(SUBSTITUTE(P71,CHAR(10),""))+1</f>
        <v>7</v>
      </c>
      <c r="R71" s="11" t="s">
        <v>495</v>
      </c>
      <c r="S71" s="11" t="s">
        <v>302</v>
      </c>
      <c r="T71" s="13" t="s">
        <v>65</v>
      </c>
    </row>
    <row r="72" customFormat="false" ht="90" hidden="false" customHeight="true" outlineLevel="0" collapsed="false">
      <c r="A72" s="9" t="n">
        <v>71</v>
      </c>
      <c r="B72" s="18" t="s">
        <v>31</v>
      </c>
      <c r="C72" s="18" t="s">
        <v>162</v>
      </c>
      <c r="D72" s="11" t="s">
        <v>604</v>
      </c>
      <c r="E72" s="11" t="s">
        <v>605</v>
      </c>
      <c r="F72" s="11" t="s">
        <v>606</v>
      </c>
      <c r="G72" s="11" t="s">
        <v>607</v>
      </c>
      <c r="H72" s="12" t="n">
        <f aca="false">LEN(G72)</f>
        <v>46</v>
      </c>
      <c r="I72" s="11" t="s">
        <v>608</v>
      </c>
      <c r="J72" s="12" t="n">
        <f aca="false">LEN(I72)</f>
        <v>128</v>
      </c>
      <c r="K72" s="13" t="n">
        <v>700</v>
      </c>
      <c r="L72" s="13" t="n">
        <v>1000</v>
      </c>
      <c r="M72" s="13" t="n">
        <v>742</v>
      </c>
      <c r="N72" s="9" t="str">
        <f aca="false">IF(AND(M72&gt;=K72,M72&lt;=L72),"OK","Check")</f>
        <v>OK</v>
      </c>
      <c r="O72" s="11" t="s">
        <v>609</v>
      </c>
      <c r="P72" s="11" t="s">
        <v>610</v>
      </c>
      <c r="Q72" s="9" t="n">
        <f aca="false">LEN(P72)-LEN(SUBSTITUTE(P72,CHAR(10),""))+1</f>
        <v>7</v>
      </c>
      <c r="R72" s="11" t="s">
        <v>503</v>
      </c>
      <c r="S72" s="11" t="s">
        <v>311</v>
      </c>
      <c r="T72" s="13" t="s">
        <v>65</v>
      </c>
    </row>
    <row r="73" customFormat="false" ht="90" hidden="false" customHeight="true" outlineLevel="0" collapsed="false">
      <c r="A73" s="9" t="n">
        <v>72</v>
      </c>
      <c r="B73" s="18" t="s">
        <v>31</v>
      </c>
      <c r="C73" s="18" t="s">
        <v>162</v>
      </c>
      <c r="D73" s="11" t="s">
        <v>611</v>
      </c>
      <c r="E73" s="11" t="s">
        <v>612</v>
      </c>
      <c r="F73" s="11" t="s">
        <v>613</v>
      </c>
      <c r="G73" s="11" t="s">
        <v>614</v>
      </c>
      <c r="H73" s="12" t="n">
        <f aca="false">LEN(G73)</f>
        <v>48</v>
      </c>
      <c r="I73" s="11" t="s">
        <v>615</v>
      </c>
      <c r="J73" s="12" t="n">
        <f aca="false">LEN(I73)</f>
        <v>130</v>
      </c>
      <c r="K73" s="13" t="n">
        <v>700</v>
      </c>
      <c r="L73" s="13" t="n">
        <v>1000</v>
      </c>
      <c r="M73" s="13" t="n">
        <v>738</v>
      </c>
      <c r="N73" s="9" t="str">
        <f aca="false">IF(AND(M73&gt;=K73,M73&lt;=L73),"OK","Check")</f>
        <v>OK</v>
      </c>
      <c r="O73" s="11" t="s">
        <v>616</v>
      </c>
      <c r="P73" s="11" t="s">
        <v>617</v>
      </c>
      <c r="Q73" s="9" t="n">
        <f aca="false">LEN(P73)-LEN(SUBSTITUTE(P73,CHAR(10),""))+1</f>
        <v>6</v>
      </c>
      <c r="R73" s="11" t="s">
        <v>511</v>
      </c>
      <c r="S73" s="11" t="s">
        <v>320</v>
      </c>
      <c r="T73" s="13" t="s">
        <v>65</v>
      </c>
    </row>
    <row r="74" customFormat="false" ht="90" hidden="false" customHeight="true" outlineLevel="0" collapsed="false">
      <c r="A74" s="9" t="n">
        <v>73</v>
      </c>
      <c r="B74" s="18" t="s">
        <v>31</v>
      </c>
      <c r="C74" s="18" t="s">
        <v>162</v>
      </c>
      <c r="D74" s="11" t="s">
        <v>618</v>
      </c>
      <c r="E74" s="11" t="s">
        <v>619</v>
      </c>
      <c r="F74" s="11" t="s">
        <v>620</v>
      </c>
      <c r="G74" s="11" t="s">
        <v>621</v>
      </c>
      <c r="H74" s="12" t="n">
        <f aca="false">LEN(G74)</f>
        <v>50</v>
      </c>
      <c r="I74" s="11" t="s">
        <v>622</v>
      </c>
      <c r="J74" s="12" t="n">
        <f aca="false">LEN(I74)</f>
        <v>132</v>
      </c>
      <c r="K74" s="13" t="n">
        <v>700</v>
      </c>
      <c r="L74" s="13" t="n">
        <v>1000</v>
      </c>
      <c r="M74" s="13" t="n">
        <v>779</v>
      </c>
      <c r="N74" s="9" t="str">
        <f aca="false">IF(AND(M74&gt;=K74,M74&lt;=L74),"OK","Check")</f>
        <v>OK</v>
      </c>
      <c r="O74" s="11" t="s">
        <v>623</v>
      </c>
      <c r="P74" s="11" t="s">
        <v>624</v>
      </c>
      <c r="Q74" s="9" t="n">
        <f aca="false">LEN(P74)-LEN(SUBSTITUTE(P74,CHAR(10),""))+1</f>
        <v>6</v>
      </c>
      <c r="R74" s="11" t="s">
        <v>519</v>
      </c>
      <c r="S74" s="11" t="s">
        <v>329</v>
      </c>
      <c r="T74" s="13" t="s">
        <v>65</v>
      </c>
    </row>
    <row r="75" customFormat="false" ht="90" hidden="false" customHeight="true" outlineLevel="0" collapsed="false">
      <c r="A75" s="9" t="n">
        <v>74</v>
      </c>
      <c r="B75" s="18" t="s">
        <v>31</v>
      </c>
      <c r="C75" s="18" t="s">
        <v>169</v>
      </c>
      <c r="D75" s="11" t="s">
        <v>625</v>
      </c>
      <c r="E75" s="11" t="s">
        <v>626</v>
      </c>
      <c r="F75" s="11" t="s">
        <v>627</v>
      </c>
      <c r="G75" s="11" t="s">
        <v>628</v>
      </c>
      <c r="H75" s="12" t="n">
        <f aca="false">LEN(G75)</f>
        <v>51</v>
      </c>
      <c r="I75" s="11" t="s">
        <v>629</v>
      </c>
      <c r="J75" s="12" t="n">
        <f aca="false">LEN(I75)</f>
        <v>134</v>
      </c>
      <c r="K75" s="13" t="n">
        <v>700</v>
      </c>
      <c r="L75" s="13" t="n">
        <v>1000</v>
      </c>
      <c r="M75" s="13" t="n">
        <v>766</v>
      </c>
      <c r="N75" s="9" t="str">
        <f aca="false">IF(AND(M75&gt;=K75,M75&lt;=L75),"OK","Check")</f>
        <v>OK</v>
      </c>
      <c r="O75" s="11" t="s">
        <v>630</v>
      </c>
      <c r="P75" s="11" t="s">
        <v>631</v>
      </c>
      <c r="Q75" s="9" t="n">
        <f aca="false">LEN(P75)-LEN(SUBSTITUTE(P75,CHAR(10),""))+1</f>
        <v>6</v>
      </c>
      <c r="R75" s="11" t="s">
        <v>292</v>
      </c>
      <c r="S75" s="11" t="s">
        <v>293</v>
      </c>
      <c r="T75" s="13" t="s">
        <v>65</v>
      </c>
    </row>
    <row r="76" customFormat="false" ht="90" hidden="false" customHeight="true" outlineLevel="0" collapsed="false">
      <c r="A76" s="9" t="n">
        <v>75</v>
      </c>
      <c r="B76" s="18" t="s">
        <v>31</v>
      </c>
      <c r="C76" s="18" t="s">
        <v>169</v>
      </c>
      <c r="D76" s="11" t="s">
        <v>632</v>
      </c>
      <c r="E76" s="11" t="s">
        <v>633</v>
      </c>
      <c r="F76" s="11" t="s">
        <v>634</v>
      </c>
      <c r="G76" s="11" t="s">
        <v>635</v>
      </c>
      <c r="H76" s="12" t="n">
        <f aca="false">LEN(G76)</f>
        <v>50</v>
      </c>
      <c r="I76" s="11" t="s">
        <v>636</v>
      </c>
      <c r="J76" s="12" t="n">
        <f aca="false">LEN(I76)</f>
        <v>133</v>
      </c>
      <c r="K76" s="13" t="n">
        <v>700</v>
      </c>
      <c r="L76" s="13" t="n">
        <v>1000</v>
      </c>
      <c r="M76" s="13" t="n">
        <v>747</v>
      </c>
      <c r="N76" s="9" t="str">
        <f aca="false">IF(AND(M76&gt;=K76,M76&lt;=L76),"OK","Check")</f>
        <v>OK</v>
      </c>
      <c r="O76" s="11" t="s">
        <v>637</v>
      </c>
      <c r="P76" s="11" t="s">
        <v>638</v>
      </c>
      <c r="Q76" s="9" t="n">
        <f aca="false">LEN(P76)-LEN(SUBSTITUTE(P76,CHAR(10),""))+1</f>
        <v>7</v>
      </c>
      <c r="R76" s="11" t="s">
        <v>301</v>
      </c>
      <c r="S76" s="11" t="s">
        <v>302</v>
      </c>
      <c r="T76" s="13" t="s">
        <v>65</v>
      </c>
    </row>
    <row r="77" customFormat="false" ht="90" hidden="false" customHeight="true" outlineLevel="0" collapsed="false">
      <c r="A77" s="9" t="n">
        <v>76</v>
      </c>
      <c r="B77" s="18" t="s">
        <v>31</v>
      </c>
      <c r="C77" s="18" t="s">
        <v>169</v>
      </c>
      <c r="D77" s="11" t="s">
        <v>639</v>
      </c>
      <c r="E77" s="11" t="s">
        <v>640</v>
      </c>
      <c r="F77" s="11" t="s">
        <v>641</v>
      </c>
      <c r="G77" s="11" t="s">
        <v>642</v>
      </c>
      <c r="H77" s="12" t="n">
        <f aca="false">LEN(G77)</f>
        <v>46</v>
      </c>
      <c r="I77" s="11" t="s">
        <v>643</v>
      </c>
      <c r="J77" s="12" t="n">
        <f aca="false">LEN(I77)</f>
        <v>129</v>
      </c>
      <c r="K77" s="13" t="n">
        <v>700</v>
      </c>
      <c r="L77" s="13" t="n">
        <v>1000</v>
      </c>
      <c r="M77" s="13" t="n">
        <v>759</v>
      </c>
      <c r="N77" s="9" t="str">
        <f aca="false">IF(AND(M77&gt;=K77,M77&lt;=L77),"OK","Check")</f>
        <v>OK</v>
      </c>
      <c r="O77" s="11" t="s">
        <v>644</v>
      </c>
      <c r="P77" s="11" t="s">
        <v>645</v>
      </c>
      <c r="Q77" s="9" t="n">
        <f aca="false">LEN(P77)-LEN(SUBSTITUTE(P77,CHAR(10),""))+1</f>
        <v>7</v>
      </c>
      <c r="R77" s="11" t="s">
        <v>310</v>
      </c>
      <c r="S77" s="11" t="s">
        <v>311</v>
      </c>
      <c r="T77" s="13" t="s">
        <v>65</v>
      </c>
    </row>
    <row r="78" customFormat="false" ht="90" hidden="false" customHeight="true" outlineLevel="0" collapsed="false">
      <c r="A78" s="9" t="n">
        <v>77</v>
      </c>
      <c r="B78" s="18" t="s">
        <v>31</v>
      </c>
      <c r="C78" s="18" t="s">
        <v>169</v>
      </c>
      <c r="D78" s="11" t="s">
        <v>646</v>
      </c>
      <c r="E78" s="11" t="s">
        <v>647</v>
      </c>
      <c r="F78" s="11" t="s">
        <v>648</v>
      </c>
      <c r="G78" s="11" t="s">
        <v>649</v>
      </c>
      <c r="H78" s="12" t="n">
        <f aca="false">LEN(G78)</f>
        <v>48</v>
      </c>
      <c r="I78" s="11" t="s">
        <v>650</v>
      </c>
      <c r="J78" s="12" t="n">
        <f aca="false">LEN(I78)</f>
        <v>131</v>
      </c>
      <c r="K78" s="13" t="n">
        <v>700</v>
      </c>
      <c r="L78" s="13" t="n">
        <v>1000</v>
      </c>
      <c r="M78" s="13" t="n">
        <v>753</v>
      </c>
      <c r="N78" s="9" t="str">
        <f aca="false">IF(AND(M78&gt;=K78,M78&lt;=L78),"OK","Check")</f>
        <v>OK</v>
      </c>
      <c r="O78" s="11" t="s">
        <v>651</v>
      </c>
      <c r="P78" s="11" t="s">
        <v>652</v>
      </c>
      <c r="Q78" s="9" t="n">
        <f aca="false">LEN(P78)-LEN(SUBSTITUTE(P78,CHAR(10),""))+1</f>
        <v>6</v>
      </c>
      <c r="R78" s="11" t="s">
        <v>319</v>
      </c>
      <c r="S78" s="11" t="s">
        <v>320</v>
      </c>
      <c r="T78" s="13" t="s">
        <v>65</v>
      </c>
    </row>
    <row r="79" customFormat="false" ht="90" hidden="false" customHeight="true" outlineLevel="0" collapsed="false">
      <c r="A79" s="9" t="n">
        <v>78</v>
      </c>
      <c r="B79" s="18" t="s">
        <v>31</v>
      </c>
      <c r="C79" s="18" t="s">
        <v>169</v>
      </c>
      <c r="D79" s="11" t="s">
        <v>653</v>
      </c>
      <c r="E79" s="11" t="s">
        <v>654</v>
      </c>
      <c r="F79" s="11" t="s">
        <v>655</v>
      </c>
      <c r="G79" s="11" t="s">
        <v>656</v>
      </c>
      <c r="H79" s="12" t="n">
        <f aca="false">LEN(G79)</f>
        <v>50</v>
      </c>
      <c r="I79" s="11" t="s">
        <v>657</v>
      </c>
      <c r="J79" s="12" t="n">
        <f aca="false">LEN(I79)</f>
        <v>133</v>
      </c>
      <c r="K79" s="13" t="n">
        <v>700</v>
      </c>
      <c r="L79" s="13" t="n">
        <v>1000</v>
      </c>
      <c r="M79" s="13" t="n">
        <v>748</v>
      </c>
      <c r="N79" s="9" t="str">
        <f aca="false">IF(AND(M79&gt;=K79,M79&lt;=L79),"OK","Check")</f>
        <v>OK</v>
      </c>
      <c r="O79" s="11" t="s">
        <v>658</v>
      </c>
      <c r="P79" s="11" t="s">
        <v>659</v>
      </c>
      <c r="Q79" s="9" t="n">
        <f aca="false">LEN(P79)-LEN(SUBSTITUTE(P79,CHAR(10),""))+1</f>
        <v>6</v>
      </c>
      <c r="R79" s="11" t="s">
        <v>328</v>
      </c>
      <c r="S79" s="11" t="s">
        <v>329</v>
      </c>
      <c r="T79" s="13" t="s">
        <v>65</v>
      </c>
    </row>
    <row r="80" customFormat="false" ht="90" hidden="false" customHeight="true" outlineLevel="0" collapsed="false">
      <c r="A80" s="9" t="n">
        <v>79</v>
      </c>
      <c r="B80" s="18" t="s">
        <v>31</v>
      </c>
      <c r="C80" s="18" t="s">
        <v>176</v>
      </c>
      <c r="D80" s="11" t="s">
        <v>660</v>
      </c>
      <c r="E80" s="11" t="s">
        <v>661</v>
      </c>
      <c r="F80" s="11" t="s">
        <v>662</v>
      </c>
      <c r="G80" s="11" t="s">
        <v>663</v>
      </c>
      <c r="H80" s="12" t="n">
        <f aca="false">LEN(G80)</f>
        <v>53</v>
      </c>
      <c r="I80" s="11" t="s">
        <v>664</v>
      </c>
      <c r="J80" s="12" t="n">
        <f aca="false">LEN(I80)</f>
        <v>143</v>
      </c>
      <c r="K80" s="13" t="n">
        <v>700</v>
      </c>
      <c r="L80" s="13" t="n">
        <v>1000</v>
      </c>
      <c r="M80" s="13" t="n">
        <v>767</v>
      </c>
      <c r="N80" s="9" t="str">
        <f aca="false">IF(AND(M80&gt;=K80,M80&lt;=L80),"OK","Check")</f>
        <v>OK</v>
      </c>
      <c r="O80" s="11" t="s">
        <v>665</v>
      </c>
      <c r="P80" s="11" t="s">
        <v>666</v>
      </c>
      <c r="Q80" s="9" t="n">
        <f aca="false">LEN(P80)-LEN(SUBSTITUTE(P80,CHAR(10),""))+1</f>
        <v>6</v>
      </c>
      <c r="R80" s="11" t="s">
        <v>292</v>
      </c>
      <c r="S80" s="11" t="s">
        <v>293</v>
      </c>
      <c r="T80" s="13" t="s">
        <v>65</v>
      </c>
    </row>
    <row r="81" customFormat="false" ht="90" hidden="false" customHeight="true" outlineLevel="0" collapsed="false">
      <c r="A81" s="9" t="n">
        <v>80</v>
      </c>
      <c r="B81" s="18" t="s">
        <v>31</v>
      </c>
      <c r="C81" s="18" t="s">
        <v>176</v>
      </c>
      <c r="D81" s="11" t="s">
        <v>667</v>
      </c>
      <c r="E81" s="11" t="s">
        <v>668</v>
      </c>
      <c r="F81" s="11" t="s">
        <v>669</v>
      </c>
      <c r="G81" s="11" t="s">
        <v>670</v>
      </c>
      <c r="H81" s="12" t="n">
        <f aca="false">LEN(G81)</f>
        <v>52</v>
      </c>
      <c r="I81" s="11" t="s">
        <v>671</v>
      </c>
      <c r="J81" s="12" t="n">
        <f aca="false">LEN(I81)</f>
        <v>142</v>
      </c>
      <c r="K81" s="13" t="n">
        <v>700</v>
      </c>
      <c r="L81" s="13" t="n">
        <v>1000</v>
      </c>
      <c r="M81" s="13" t="n">
        <v>748</v>
      </c>
      <c r="N81" s="9" t="str">
        <f aca="false">IF(AND(M81&gt;=K81,M81&lt;=L81),"OK","Check")</f>
        <v>OK</v>
      </c>
      <c r="O81" s="11" t="s">
        <v>672</v>
      </c>
      <c r="P81" s="11" t="s">
        <v>673</v>
      </c>
      <c r="Q81" s="9" t="n">
        <f aca="false">LEN(P81)-LEN(SUBSTITUTE(P81,CHAR(10),""))+1</f>
        <v>7</v>
      </c>
      <c r="R81" s="11" t="s">
        <v>301</v>
      </c>
      <c r="S81" s="11" t="s">
        <v>302</v>
      </c>
      <c r="T81" s="13" t="s">
        <v>65</v>
      </c>
    </row>
    <row r="82" customFormat="false" ht="90" hidden="false" customHeight="true" outlineLevel="0" collapsed="false">
      <c r="A82" s="9" t="n">
        <v>81</v>
      </c>
      <c r="B82" s="18" t="s">
        <v>31</v>
      </c>
      <c r="C82" s="18" t="s">
        <v>176</v>
      </c>
      <c r="D82" s="11" t="s">
        <v>674</v>
      </c>
      <c r="E82" s="11" t="s">
        <v>675</v>
      </c>
      <c r="F82" s="11" t="s">
        <v>676</v>
      </c>
      <c r="G82" s="11" t="s">
        <v>677</v>
      </c>
      <c r="H82" s="12" t="n">
        <f aca="false">LEN(G82)</f>
        <v>48</v>
      </c>
      <c r="I82" s="11" t="s">
        <v>678</v>
      </c>
      <c r="J82" s="12" t="n">
        <f aca="false">LEN(I82)</f>
        <v>138</v>
      </c>
      <c r="K82" s="13" t="n">
        <v>700</v>
      </c>
      <c r="L82" s="13" t="n">
        <v>1000</v>
      </c>
      <c r="M82" s="13" t="n">
        <v>760</v>
      </c>
      <c r="N82" s="9" t="str">
        <f aca="false">IF(AND(M82&gt;=K82,M82&lt;=L82),"OK","Check")</f>
        <v>OK</v>
      </c>
      <c r="O82" s="11" t="s">
        <v>679</v>
      </c>
      <c r="P82" s="11" t="s">
        <v>680</v>
      </c>
      <c r="Q82" s="9" t="n">
        <f aca="false">LEN(P82)-LEN(SUBSTITUTE(P82,CHAR(10),""))+1</f>
        <v>7</v>
      </c>
      <c r="R82" s="11" t="s">
        <v>310</v>
      </c>
      <c r="S82" s="11" t="s">
        <v>311</v>
      </c>
      <c r="T82" s="13" t="s">
        <v>65</v>
      </c>
    </row>
    <row r="83" customFormat="false" ht="90" hidden="false" customHeight="true" outlineLevel="0" collapsed="false">
      <c r="A83" s="9" t="n">
        <v>82</v>
      </c>
      <c r="B83" s="18" t="s">
        <v>31</v>
      </c>
      <c r="C83" s="18" t="s">
        <v>176</v>
      </c>
      <c r="D83" s="11" t="s">
        <v>681</v>
      </c>
      <c r="E83" s="11" t="s">
        <v>682</v>
      </c>
      <c r="F83" s="11" t="s">
        <v>683</v>
      </c>
      <c r="G83" s="11" t="s">
        <v>684</v>
      </c>
      <c r="H83" s="12" t="n">
        <f aca="false">LEN(G83)</f>
        <v>50</v>
      </c>
      <c r="I83" s="11" t="s">
        <v>685</v>
      </c>
      <c r="J83" s="12" t="n">
        <f aca="false">LEN(I83)</f>
        <v>140</v>
      </c>
      <c r="K83" s="13" t="n">
        <v>700</v>
      </c>
      <c r="L83" s="13" t="n">
        <v>1000</v>
      </c>
      <c r="M83" s="13" t="n">
        <v>754</v>
      </c>
      <c r="N83" s="9" t="str">
        <f aca="false">IF(AND(M83&gt;=K83,M83&lt;=L83),"OK","Check")</f>
        <v>OK</v>
      </c>
      <c r="O83" s="11" t="s">
        <v>686</v>
      </c>
      <c r="P83" s="11" t="s">
        <v>687</v>
      </c>
      <c r="Q83" s="9" t="n">
        <f aca="false">LEN(P83)-LEN(SUBSTITUTE(P83,CHAR(10),""))+1</f>
        <v>6</v>
      </c>
      <c r="R83" s="11" t="s">
        <v>319</v>
      </c>
      <c r="S83" s="11" t="s">
        <v>320</v>
      </c>
      <c r="T83" s="13" t="s">
        <v>65</v>
      </c>
    </row>
    <row r="84" customFormat="false" ht="90" hidden="false" customHeight="true" outlineLevel="0" collapsed="false">
      <c r="A84" s="9" t="n">
        <v>83</v>
      </c>
      <c r="B84" s="18" t="s">
        <v>31</v>
      </c>
      <c r="C84" s="18" t="s">
        <v>176</v>
      </c>
      <c r="D84" s="11" t="s">
        <v>688</v>
      </c>
      <c r="E84" s="11" t="s">
        <v>689</v>
      </c>
      <c r="F84" s="11" t="s">
        <v>690</v>
      </c>
      <c r="G84" s="11" t="s">
        <v>691</v>
      </c>
      <c r="H84" s="12" t="n">
        <f aca="false">LEN(G84)</f>
        <v>52</v>
      </c>
      <c r="I84" s="11" t="s">
        <v>692</v>
      </c>
      <c r="J84" s="12" t="n">
        <f aca="false">LEN(I84)</f>
        <v>142</v>
      </c>
      <c r="K84" s="13" t="n">
        <v>700</v>
      </c>
      <c r="L84" s="13" t="n">
        <v>1000</v>
      </c>
      <c r="M84" s="13" t="n">
        <v>749</v>
      </c>
      <c r="N84" s="9" t="str">
        <f aca="false">IF(AND(M84&gt;=K84,M84&lt;=L84),"OK","Check")</f>
        <v>OK</v>
      </c>
      <c r="O84" s="11" t="s">
        <v>693</v>
      </c>
      <c r="P84" s="11" t="s">
        <v>694</v>
      </c>
      <c r="Q84" s="9" t="n">
        <f aca="false">LEN(P84)-LEN(SUBSTITUTE(P84,CHAR(10),""))+1</f>
        <v>6</v>
      </c>
      <c r="R84" s="11" t="s">
        <v>328</v>
      </c>
      <c r="S84" s="11" t="s">
        <v>329</v>
      </c>
      <c r="T84" s="13" t="s">
        <v>65</v>
      </c>
    </row>
    <row r="85" customFormat="false" ht="90" hidden="false" customHeight="true" outlineLevel="0" collapsed="false">
      <c r="A85" s="9" t="n">
        <v>84</v>
      </c>
      <c r="B85" s="18" t="s">
        <v>31</v>
      </c>
      <c r="C85" s="18" t="s">
        <v>183</v>
      </c>
      <c r="D85" s="11" t="s">
        <v>695</v>
      </c>
      <c r="E85" s="11" t="s">
        <v>696</v>
      </c>
      <c r="F85" s="11" t="s">
        <v>697</v>
      </c>
      <c r="G85" s="11" t="s">
        <v>698</v>
      </c>
      <c r="H85" s="12" t="n">
        <f aca="false">LEN(G85)</f>
        <v>58</v>
      </c>
      <c r="I85" s="11" t="s">
        <v>699</v>
      </c>
      <c r="J85" s="12" t="n">
        <f aca="false">LEN(I85)</f>
        <v>138</v>
      </c>
      <c r="K85" s="13" t="n">
        <v>700</v>
      </c>
      <c r="L85" s="13" t="n">
        <v>1000</v>
      </c>
      <c r="M85" s="13" t="n">
        <v>751</v>
      </c>
      <c r="N85" s="9" t="str">
        <f aca="false">IF(AND(M85&gt;=K85,M85&lt;=L85),"OK","Check")</f>
        <v>OK</v>
      </c>
      <c r="O85" s="11" t="s">
        <v>700</v>
      </c>
      <c r="P85" s="11" t="s">
        <v>701</v>
      </c>
      <c r="Q85" s="9" t="n">
        <f aca="false">LEN(P85)-LEN(SUBSTITUTE(P85,CHAR(10),""))+1</f>
        <v>6</v>
      </c>
      <c r="R85" s="11" t="s">
        <v>447</v>
      </c>
      <c r="S85" s="11" t="s">
        <v>293</v>
      </c>
      <c r="T85" s="13" t="s">
        <v>65</v>
      </c>
    </row>
    <row r="86" customFormat="false" ht="90" hidden="false" customHeight="true" outlineLevel="0" collapsed="false">
      <c r="A86" s="9" t="n">
        <v>85</v>
      </c>
      <c r="B86" s="18" t="s">
        <v>31</v>
      </c>
      <c r="C86" s="18" t="s">
        <v>183</v>
      </c>
      <c r="D86" s="11" t="s">
        <v>702</v>
      </c>
      <c r="E86" s="11" t="s">
        <v>703</v>
      </c>
      <c r="F86" s="11" t="s">
        <v>704</v>
      </c>
      <c r="G86" s="11" t="s">
        <v>705</v>
      </c>
      <c r="H86" s="12" t="n">
        <f aca="false">LEN(G86)</f>
        <v>57</v>
      </c>
      <c r="I86" s="11" t="s">
        <v>706</v>
      </c>
      <c r="J86" s="12" t="n">
        <f aca="false">LEN(I86)</f>
        <v>137</v>
      </c>
      <c r="K86" s="13" t="n">
        <v>700</v>
      </c>
      <c r="L86" s="13" t="n">
        <v>1000</v>
      </c>
      <c r="M86" s="13" t="n">
        <v>743</v>
      </c>
      <c r="N86" s="9" t="str">
        <f aca="false">IF(AND(M86&gt;=K86,M86&lt;=L86),"OK","Check")</f>
        <v>OK</v>
      </c>
      <c r="O86" s="11" t="s">
        <v>707</v>
      </c>
      <c r="P86" s="11" t="s">
        <v>708</v>
      </c>
      <c r="Q86" s="9" t="n">
        <f aca="false">LEN(P86)-LEN(SUBSTITUTE(P86,CHAR(10),""))+1</f>
        <v>7</v>
      </c>
      <c r="R86" s="11" t="s">
        <v>455</v>
      </c>
      <c r="S86" s="11" t="s">
        <v>302</v>
      </c>
      <c r="T86" s="13" t="s">
        <v>65</v>
      </c>
    </row>
    <row r="87" customFormat="false" ht="90" hidden="false" customHeight="true" outlineLevel="0" collapsed="false">
      <c r="A87" s="9" t="n">
        <v>86</v>
      </c>
      <c r="B87" s="18" t="s">
        <v>31</v>
      </c>
      <c r="C87" s="18" t="s">
        <v>183</v>
      </c>
      <c r="D87" s="11" t="s">
        <v>709</v>
      </c>
      <c r="E87" s="11" t="s">
        <v>710</v>
      </c>
      <c r="F87" s="11" t="s">
        <v>711</v>
      </c>
      <c r="G87" s="11" t="s">
        <v>712</v>
      </c>
      <c r="H87" s="12" t="n">
        <f aca="false">LEN(G87)</f>
        <v>53</v>
      </c>
      <c r="I87" s="11" t="s">
        <v>713</v>
      </c>
      <c r="J87" s="12" t="n">
        <f aca="false">LEN(I87)</f>
        <v>133</v>
      </c>
      <c r="K87" s="13" t="n">
        <v>700</v>
      </c>
      <c r="L87" s="13" t="n">
        <v>1000</v>
      </c>
      <c r="M87" s="13" t="n">
        <v>750</v>
      </c>
      <c r="N87" s="9" t="str">
        <f aca="false">IF(AND(M87&gt;=K87,M87&lt;=L87),"OK","Check")</f>
        <v>OK</v>
      </c>
      <c r="O87" s="11" t="s">
        <v>714</v>
      </c>
      <c r="P87" s="11" t="s">
        <v>715</v>
      </c>
      <c r="Q87" s="9" t="n">
        <f aca="false">LEN(P87)-LEN(SUBSTITUTE(P87,CHAR(10),""))+1</f>
        <v>7</v>
      </c>
      <c r="R87" s="11" t="s">
        <v>463</v>
      </c>
      <c r="S87" s="11" t="s">
        <v>311</v>
      </c>
      <c r="T87" s="13" t="s">
        <v>65</v>
      </c>
    </row>
    <row r="88" customFormat="false" ht="90" hidden="false" customHeight="true" outlineLevel="0" collapsed="false">
      <c r="A88" s="9" t="n">
        <v>87</v>
      </c>
      <c r="B88" s="18" t="s">
        <v>31</v>
      </c>
      <c r="C88" s="18" t="s">
        <v>183</v>
      </c>
      <c r="D88" s="11" t="s">
        <v>716</v>
      </c>
      <c r="E88" s="11" t="s">
        <v>717</v>
      </c>
      <c r="F88" s="11" t="s">
        <v>718</v>
      </c>
      <c r="G88" s="11" t="s">
        <v>719</v>
      </c>
      <c r="H88" s="12" t="n">
        <f aca="false">LEN(G88)</f>
        <v>55</v>
      </c>
      <c r="I88" s="11" t="s">
        <v>720</v>
      </c>
      <c r="J88" s="12" t="n">
        <f aca="false">LEN(I88)</f>
        <v>135</v>
      </c>
      <c r="K88" s="13" t="n">
        <v>700</v>
      </c>
      <c r="L88" s="13" t="n">
        <v>1000</v>
      </c>
      <c r="M88" s="13" t="n">
        <v>741</v>
      </c>
      <c r="N88" s="9" t="str">
        <f aca="false">IF(AND(M88&gt;=K88,M88&lt;=L88),"OK","Check")</f>
        <v>OK</v>
      </c>
      <c r="O88" s="11" t="s">
        <v>721</v>
      </c>
      <c r="P88" s="11" t="s">
        <v>722</v>
      </c>
      <c r="Q88" s="9" t="n">
        <f aca="false">LEN(P88)-LEN(SUBSTITUTE(P88,CHAR(10),""))+1</f>
        <v>6</v>
      </c>
      <c r="R88" s="11" t="s">
        <v>471</v>
      </c>
      <c r="S88" s="11" t="s">
        <v>320</v>
      </c>
      <c r="T88" s="13" t="s">
        <v>65</v>
      </c>
    </row>
    <row r="89" customFormat="false" ht="90" hidden="false" customHeight="true" outlineLevel="0" collapsed="false">
      <c r="A89" s="9" t="n">
        <v>88</v>
      </c>
      <c r="B89" s="18" t="s">
        <v>31</v>
      </c>
      <c r="C89" s="18" t="s">
        <v>183</v>
      </c>
      <c r="D89" s="11" t="s">
        <v>723</v>
      </c>
      <c r="E89" s="11" t="s">
        <v>724</v>
      </c>
      <c r="F89" s="11" t="s">
        <v>725</v>
      </c>
      <c r="G89" s="11" t="s">
        <v>726</v>
      </c>
      <c r="H89" s="12" t="n">
        <f aca="false">LEN(G89)</f>
        <v>57</v>
      </c>
      <c r="I89" s="11" t="s">
        <v>727</v>
      </c>
      <c r="J89" s="12" t="n">
        <f aca="false">LEN(I89)</f>
        <v>137</v>
      </c>
      <c r="K89" s="13" t="n">
        <v>700</v>
      </c>
      <c r="L89" s="13" t="n">
        <v>1000</v>
      </c>
      <c r="M89" s="13" t="n">
        <v>739</v>
      </c>
      <c r="N89" s="9" t="str">
        <f aca="false">IF(AND(M89&gt;=K89,M89&lt;=L89),"OK","Check")</f>
        <v>OK</v>
      </c>
      <c r="O89" s="11" t="s">
        <v>728</v>
      </c>
      <c r="P89" s="11" t="s">
        <v>729</v>
      </c>
      <c r="Q89" s="9" t="n">
        <f aca="false">LEN(P89)-LEN(SUBSTITUTE(P89,CHAR(10),""))+1</f>
        <v>6</v>
      </c>
      <c r="R89" s="11" t="s">
        <v>479</v>
      </c>
      <c r="S89" s="11" t="s">
        <v>329</v>
      </c>
      <c r="T89" s="13" t="s">
        <v>65</v>
      </c>
    </row>
    <row r="90" customFormat="false" ht="90" hidden="false" customHeight="true" outlineLevel="0" collapsed="false">
      <c r="A90" s="9" t="n">
        <v>89</v>
      </c>
      <c r="B90" s="18" t="s">
        <v>31</v>
      </c>
      <c r="C90" s="18" t="s">
        <v>190</v>
      </c>
      <c r="D90" s="11" t="s">
        <v>730</v>
      </c>
      <c r="E90" s="11" t="s">
        <v>731</v>
      </c>
      <c r="F90" s="11" t="s">
        <v>732</v>
      </c>
      <c r="G90" s="11" t="s">
        <v>733</v>
      </c>
      <c r="H90" s="12" t="n">
        <f aca="false">LEN(G90)</f>
        <v>60</v>
      </c>
      <c r="I90" s="11" t="s">
        <v>734</v>
      </c>
      <c r="J90" s="12" t="n">
        <f aca="false">LEN(I90)</f>
        <v>152</v>
      </c>
      <c r="K90" s="13" t="n">
        <v>700</v>
      </c>
      <c r="L90" s="13" t="n">
        <v>1000</v>
      </c>
      <c r="M90" s="13" t="n">
        <v>751</v>
      </c>
      <c r="N90" s="9" t="str">
        <f aca="false">IF(AND(M90&gt;=K90,M90&lt;=L90),"OK","Check")</f>
        <v>OK</v>
      </c>
      <c r="O90" s="11" t="s">
        <v>735</v>
      </c>
      <c r="P90" s="11" t="s">
        <v>736</v>
      </c>
      <c r="Q90" s="9" t="n">
        <f aca="false">LEN(P90)-LEN(SUBSTITUTE(P90,CHAR(10),""))+1</f>
        <v>6</v>
      </c>
      <c r="R90" s="11" t="s">
        <v>737</v>
      </c>
      <c r="S90" s="11" t="s">
        <v>293</v>
      </c>
      <c r="T90" s="13" t="s">
        <v>65</v>
      </c>
    </row>
    <row r="91" customFormat="false" ht="90" hidden="false" customHeight="true" outlineLevel="0" collapsed="false">
      <c r="A91" s="9" t="n">
        <v>90</v>
      </c>
      <c r="B91" s="18" t="s">
        <v>31</v>
      </c>
      <c r="C91" s="18" t="s">
        <v>190</v>
      </c>
      <c r="D91" s="11" t="s">
        <v>738</v>
      </c>
      <c r="E91" s="11" t="s">
        <v>739</v>
      </c>
      <c r="F91" s="11" t="s">
        <v>740</v>
      </c>
      <c r="G91" s="11" t="s">
        <v>741</v>
      </c>
      <c r="H91" s="12" t="n">
        <f aca="false">LEN(G91)</f>
        <v>59</v>
      </c>
      <c r="I91" s="11" t="s">
        <v>742</v>
      </c>
      <c r="J91" s="12" t="n">
        <f aca="false">LEN(I91)</f>
        <v>151</v>
      </c>
      <c r="K91" s="13" t="n">
        <v>700</v>
      </c>
      <c r="L91" s="13" t="n">
        <v>1000</v>
      </c>
      <c r="M91" s="13" t="n">
        <v>737</v>
      </c>
      <c r="N91" s="9" t="str">
        <f aca="false">IF(AND(M91&gt;=K91,M91&lt;=L91),"OK","Check")</f>
        <v>OK</v>
      </c>
      <c r="O91" s="11" t="s">
        <v>743</v>
      </c>
      <c r="P91" s="11" t="s">
        <v>744</v>
      </c>
      <c r="Q91" s="9" t="n">
        <f aca="false">LEN(P91)-LEN(SUBSTITUTE(P91,CHAR(10),""))+1</f>
        <v>7</v>
      </c>
      <c r="R91" s="11" t="s">
        <v>745</v>
      </c>
      <c r="S91" s="11" t="s">
        <v>302</v>
      </c>
      <c r="T91" s="13" t="s">
        <v>65</v>
      </c>
    </row>
    <row r="92" customFormat="false" ht="90" hidden="false" customHeight="true" outlineLevel="0" collapsed="false">
      <c r="A92" s="9" t="n">
        <v>91</v>
      </c>
      <c r="B92" s="18" t="s">
        <v>31</v>
      </c>
      <c r="C92" s="18" t="s">
        <v>190</v>
      </c>
      <c r="D92" s="11" t="s">
        <v>746</v>
      </c>
      <c r="E92" s="11" t="s">
        <v>747</v>
      </c>
      <c r="F92" s="11" t="s">
        <v>748</v>
      </c>
      <c r="G92" s="11" t="s">
        <v>749</v>
      </c>
      <c r="H92" s="12" t="n">
        <f aca="false">LEN(G92)</f>
        <v>57</v>
      </c>
      <c r="I92" s="11" t="s">
        <v>750</v>
      </c>
      <c r="J92" s="12" t="n">
        <f aca="false">LEN(I92)</f>
        <v>147</v>
      </c>
      <c r="K92" s="13" t="n">
        <v>700</v>
      </c>
      <c r="L92" s="13" t="n">
        <v>1000</v>
      </c>
      <c r="M92" s="13" t="n">
        <v>752</v>
      </c>
      <c r="N92" s="9" t="str">
        <f aca="false">IF(AND(M92&gt;=K92,M92&lt;=L92),"OK","Check")</f>
        <v>OK</v>
      </c>
      <c r="O92" s="11" t="s">
        <v>751</v>
      </c>
      <c r="P92" s="11" t="s">
        <v>752</v>
      </c>
      <c r="Q92" s="9" t="n">
        <f aca="false">LEN(P92)-LEN(SUBSTITUTE(P92,CHAR(10),""))+1</f>
        <v>7</v>
      </c>
      <c r="R92" s="11" t="s">
        <v>753</v>
      </c>
      <c r="S92" s="11" t="s">
        <v>311</v>
      </c>
      <c r="T92" s="13" t="s">
        <v>65</v>
      </c>
    </row>
    <row r="93" customFormat="false" ht="90" hidden="false" customHeight="true" outlineLevel="0" collapsed="false">
      <c r="A93" s="9" t="n">
        <v>92</v>
      </c>
      <c r="B93" s="18" t="s">
        <v>31</v>
      </c>
      <c r="C93" s="18" t="s">
        <v>190</v>
      </c>
      <c r="D93" s="11" t="s">
        <v>754</v>
      </c>
      <c r="E93" s="11" t="s">
        <v>755</v>
      </c>
      <c r="F93" s="11" t="s">
        <v>756</v>
      </c>
      <c r="G93" s="11" t="s">
        <v>757</v>
      </c>
      <c r="H93" s="12" t="n">
        <f aca="false">LEN(G93)</f>
        <v>59</v>
      </c>
      <c r="I93" s="11" t="s">
        <v>758</v>
      </c>
      <c r="J93" s="12" t="n">
        <f aca="false">LEN(I93)</f>
        <v>149</v>
      </c>
      <c r="K93" s="13" t="n">
        <v>700</v>
      </c>
      <c r="L93" s="13" t="n">
        <v>1000</v>
      </c>
      <c r="M93" s="13" t="n">
        <v>742</v>
      </c>
      <c r="N93" s="9" t="str">
        <f aca="false">IF(AND(M93&gt;=K93,M93&lt;=L93),"OK","Check")</f>
        <v>OK</v>
      </c>
      <c r="O93" s="11" t="s">
        <v>759</v>
      </c>
      <c r="P93" s="11" t="s">
        <v>760</v>
      </c>
      <c r="Q93" s="9" t="n">
        <f aca="false">LEN(P93)-LEN(SUBSTITUTE(P93,CHAR(10),""))+1</f>
        <v>6</v>
      </c>
      <c r="R93" s="11" t="s">
        <v>761</v>
      </c>
      <c r="S93" s="11" t="s">
        <v>320</v>
      </c>
      <c r="T93" s="13" t="s">
        <v>65</v>
      </c>
    </row>
    <row r="94" customFormat="false" ht="90" hidden="false" customHeight="true" outlineLevel="0" collapsed="false">
      <c r="A94" s="9" t="n">
        <v>93</v>
      </c>
      <c r="B94" s="18" t="s">
        <v>31</v>
      </c>
      <c r="C94" s="18" t="s">
        <v>190</v>
      </c>
      <c r="D94" s="11" t="s">
        <v>762</v>
      </c>
      <c r="E94" s="11" t="s">
        <v>763</v>
      </c>
      <c r="F94" s="11" t="s">
        <v>764</v>
      </c>
      <c r="G94" s="11" t="s">
        <v>765</v>
      </c>
      <c r="H94" s="12" t="n">
        <f aca="false">LEN(G94)</f>
        <v>59</v>
      </c>
      <c r="I94" s="11" t="s">
        <v>766</v>
      </c>
      <c r="J94" s="12" t="n">
        <f aca="false">LEN(I94)</f>
        <v>151</v>
      </c>
      <c r="K94" s="13" t="n">
        <v>700</v>
      </c>
      <c r="L94" s="13" t="n">
        <v>1000</v>
      </c>
      <c r="M94" s="13" t="n">
        <v>741</v>
      </c>
      <c r="N94" s="9" t="str">
        <f aca="false">IF(AND(M94&gt;=K94,M94&lt;=L94),"OK","Check")</f>
        <v>OK</v>
      </c>
      <c r="O94" s="11" t="s">
        <v>767</v>
      </c>
      <c r="P94" s="11" t="s">
        <v>768</v>
      </c>
      <c r="Q94" s="9" t="n">
        <f aca="false">LEN(P94)-LEN(SUBSTITUTE(P94,CHAR(10),""))+1</f>
        <v>6</v>
      </c>
      <c r="R94" s="11" t="s">
        <v>769</v>
      </c>
      <c r="S94" s="11" t="s">
        <v>329</v>
      </c>
      <c r="T94" s="13" t="s">
        <v>65</v>
      </c>
    </row>
    <row r="95" customFormat="false" ht="90" hidden="false" customHeight="true" outlineLevel="0" collapsed="false">
      <c r="A95" s="9" t="n">
        <v>94</v>
      </c>
      <c r="B95" s="18" t="s">
        <v>31</v>
      </c>
      <c r="C95" s="18" t="s">
        <v>198</v>
      </c>
      <c r="D95" s="11" t="s">
        <v>770</v>
      </c>
      <c r="E95" s="11" t="s">
        <v>771</v>
      </c>
      <c r="F95" s="11" t="s">
        <v>772</v>
      </c>
      <c r="G95" s="11" t="s">
        <v>773</v>
      </c>
      <c r="H95" s="12" t="n">
        <f aca="false">LEN(G95)</f>
        <v>58</v>
      </c>
      <c r="I95" s="11" t="s">
        <v>774</v>
      </c>
      <c r="J95" s="12" t="n">
        <f aca="false">LEN(I95)</f>
        <v>149</v>
      </c>
      <c r="K95" s="13" t="n">
        <v>700</v>
      </c>
      <c r="L95" s="13" t="n">
        <v>1000</v>
      </c>
      <c r="M95" s="13" t="n">
        <v>740</v>
      </c>
      <c r="N95" s="9" t="str">
        <f aca="false">IF(AND(M95&gt;=K95,M95&lt;=L95),"OK","Check")</f>
        <v>OK</v>
      </c>
      <c r="O95" s="11" t="s">
        <v>775</v>
      </c>
      <c r="P95" s="11" t="s">
        <v>776</v>
      </c>
      <c r="Q95" s="9" t="n">
        <f aca="false">LEN(P95)-LEN(SUBSTITUTE(P95,CHAR(10),""))+1</f>
        <v>6</v>
      </c>
      <c r="R95" s="11" t="s">
        <v>777</v>
      </c>
      <c r="S95" s="11" t="s">
        <v>293</v>
      </c>
      <c r="T95" s="13" t="s">
        <v>65</v>
      </c>
    </row>
    <row r="96" customFormat="false" ht="90" hidden="false" customHeight="true" outlineLevel="0" collapsed="false">
      <c r="A96" s="9" t="n">
        <v>95</v>
      </c>
      <c r="B96" s="18" t="s">
        <v>31</v>
      </c>
      <c r="C96" s="18" t="s">
        <v>198</v>
      </c>
      <c r="D96" s="11" t="s">
        <v>778</v>
      </c>
      <c r="E96" s="11" t="s">
        <v>779</v>
      </c>
      <c r="F96" s="11" t="s">
        <v>780</v>
      </c>
      <c r="G96" s="11" t="s">
        <v>781</v>
      </c>
      <c r="H96" s="12" t="n">
        <f aca="false">LEN(G96)</f>
        <v>57</v>
      </c>
      <c r="I96" s="11" t="s">
        <v>782</v>
      </c>
      <c r="J96" s="12" t="n">
        <f aca="false">LEN(I96)</f>
        <v>148</v>
      </c>
      <c r="K96" s="13" t="n">
        <v>700</v>
      </c>
      <c r="L96" s="13" t="n">
        <v>1000</v>
      </c>
      <c r="M96" s="13" t="n">
        <v>780</v>
      </c>
      <c r="N96" s="9" t="str">
        <f aca="false">IF(AND(M96&gt;=K96,M96&lt;=L96),"OK","Check")</f>
        <v>OK</v>
      </c>
      <c r="O96" s="11" t="s">
        <v>783</v>
      </c>
      <c r="P96" s="11" t="s">
        <v>784</v>
      </c>
      <c r="Q96" s="9" t="n">
        <f aca="false">LEN(P96)-LEN(SUBSTITUTE(P96,CHAR(10),""))+1</f>
        <v>7</v>
      </c>
      <c r="R96" s="11" t="s">
        <v>785</v>
      </c>
      <c r="S96" s="11" t="s">
        <v>302</v>
      </c>
      <c r="T96" s="13" t="s">
        <v>65</v>
      </c>
    </row>
    <row r="97" customFormat="false" ht="90" hidden="false" customHeight="true" outlineLevel="0" collapsed="false">
      <c r="A97" s="9" t="n">
        <v>96</v>
      </c>
      <c r="B97" s="18" t="s">
        <v>31</v>
      </c>
      <c r="C97" s="18" t="s">
        <v>198</v>
      </c>
      <c r="D97" s="11" t="s">
        <v>786</v>
      </c>
      <c r="E97" s="11" t="s">
        <v>787</v>
      </c>
      <c r="F97" s="11" t="s">
        <v>788</v>
      </c>
      <c r="G97" s="11" t="s">
        <v>789</v>
      </c>
      <c r="H97" s="12" t="n">
        <f aca="false">LEN(G97)</f>
        <v>53</v>
      </c>
      <c r="I97" s="11" t="s">
        <v>790</v>
      </c>
      <c r="J97" s="12" t="n">
        <f aca="false">LEN(I97)</f>
        <v>144</v>
      </c>
      <c r="K97" s="13" t="n">
        <v>700</v>
      </c>
      <c r="L97" s="13" t="n">
        <v>1000</v>
      </c>
      <c r="M97" s="13" t="n">
        <v>743</v>
      </c>
      <c r="N97" s="9" t="str">
        <f aca="false">IF(AND(M97&gt;=K97,M97&lt;=L97),"OK","Check")</f>
        <v>OK</v>
      </c>
      <c r="O97" s="11" t="s">
        <v>791</v>
      </c>
      <c r="P97" s="11" t="s">
        <v>792</v>
      </c>
      <c r="Q97" s="9" t="n">
        <f aca="false">LEN(P97)-LEN(SUBSTITUTE(P97,CHAR(10),""))+1</f>
        <v>7</v>
      </c>
      <c r="R97" s="11" t="s">
        <v>793</v>
      </c>
      <c r="S97" s="11" t="s">
        <v>311</v>
      </c>
      <c r="T97" s="13" t="s">
        <v>65</v>
      </c>
    </row>
    <row r="98" customFormat="false" ht="90" hidden="false" customHeight="true" outlineLevel="0" collapsed="false">
      <c r="A98" s="9" t="n">
        <v>97</v>
      </c>
      <c r="B98" s="18" t="s">
        <v>31</v>
      </c>
      <c r="C98" s="18" t="s">
        <v>198</v>
      </c>
      <c r="D98" s="11" t="s">
        <v>794</v>
      </c>
      <c r="E98" s="11" t="s">
        <v>795</v>
      </c>
      <c r="F98" s="11" t="s">
        <v>796</v>
      </c>
      <c r="G98" s="11" t="s">
        <v>797</v>
      </c>
      <c r="H98" s="12" t="n">
        <f aca="false">LEN(G98)</f>
        <v>55</v>
      </c>
      <c r="I98" s="11" t="s">
        <v>798</v>
      </c>
      <c r="J98" s="12" t="n">
        <f aca="false">LEN(I98)</f>
        <v>146</v>
      </c>
      <c r="K98" s="13" t="n">
        <v>700</v>
      </c>
      <c r="L98" s="13" t="n">
        <v>1000</v>
      </c>
      <c r="M98" s="13" t="n">
        <v>733</v>
      </c>
      <c r="N98" s="9" t="str">
        <f aca="false">IF(AND(M98&gt;=K98,M98&lt;=L98),"OK","Check")</f>
        <v>OK</v>
      </c>
      <c r="O98" s="11" t="s">
        <v>799</v>
      </c>
      <c r="P98" s="11" t="s">
        <v>800</v>
      </c>
      <c r="Q98" s="9" t="n">
        <f aca="false">LEN(P98)-LEN(SUBSTITUTE(P98,CHAR(10),""))+1</f>
        <v>6</v>
      </c>
      <c r="R98" s="11" t="s">
        <v>801</v>
      </c>
      <c r="S98" s="11" t="s">
        <v>320</v>
      </c>
      <c r="T98" s="13" t="s">
        <v>65</v>
      </c>
    </row>
    <row r="99" customFormat="false" ht="90" hidden="false" customHeight="true" outlineLevel="0" collapsed="false">
      <c r="A99" s="9" t="n">
        <v>98</v>
      </c>
      <c r="B99" s="18" t="s">
        <v>31</v>
      </c>
      <c r="C99" s="18" t="s">
        <v>198</v>
      </c>
      <c r="D99" s="11" t="s">
        <v>802</v>
      </c>
      <c r="E99" s="11" t="s">
        <v>803</v>
      </c>
      <c r="F99" s="11" t="s">
        <v>804</v>
      </c>
      <c r="G99" s="11" t="s">
        <v>805</v>
      </c>
      <c r="H99" s="12" t="n">
        <f aca="false">LEN(G99)</f>
        <v>57</v>
      </c>
      <c r="I99" s="11" t="s">
        <v>806</v>
      </c>
      <c r="J99" s="12" t="n">
        <f aca="false">LEN(I99)</f>
        <v>148</v>
      </c>
      <c r="K99" s="13" t="n">
        <v>700</v>
      </c>
      <c r="L99" s="13" t="n">
        <v>1000</v>
      </c>
      <c r="M99" s="13" t="n">
        <v>781</v>
      </c>
      <c r="N99" s="9" t="str">
        <f aca="false">IF(AND(M99&gt;=K99,M99&lt;=L99),"OK","Check")</f>
        <v>OK</v>
      </c>
      <c r="O99" s="11" t="s">
        <v>807</v>
      </c>
      <c r="P99" s="11" t="s">
        <v>808</v>
      </c>
      <c r="Q99" s="9" t="n">
        <f aca="false">LEN(P99)-LEN(SUBSTITUTE(P99,CHAR(10),""))+1</f>
        <v>6</v>
      </c>
      <c r="R99" s="11" t="s">
        <v>809</v>
      </c>
      <c r="S99" s="11" t="s">
        <v>329</v>
      </c>
      <c r="T99" s="13" t="s">
        <v>65</v>
      </c>
    </row>
  </sheetData>
  <autoFilter ref="A1:T99"/>
  <conditionalFormatting sqref="N2:N99">
    <cfRule type="cellIs" priority="2" operator="equal" aboveAverage="0" equalAverage="0" bottom="0" percent="0" rank="0" text="" dxfId="10">
      <formula>"Check"</formula>
    </cfRule>
    <cfRule type="cellIs" priority="3" operator="equal" aboveAverage="0" equalAverage="0" bottom="0" percent="0" rank="0" text="" dxfId="11">
      <formula>"OK"</formula>
    </cfRule>
  </conditionalFormatting>
  <conditionalFormatting sqref="H2:H99">
    <cfRule type="cellIs" priority="4" operator="greaterThan" aboveAverage="0" equalAverage="0" bottom="0" percent="0" rank="0" text="" dxfId="10">
      <formula>60</formula>
    </cfRule>
  </conditionalFormatting>
  <conditionalFormatting sqref="J2:J99">
    <cfRule type="cellIs" priority="5" operator="greaterThan" aboveAverage="0" equalAverage="0" bottom="0" percent="0" rank="0" text="" dxfId="10">
      <formula>155</formula>
    </cfRule>
  </conditionalFormatting>
  <dataValidations count="1">
    <dataValidation allowBlank="true" errorStyle="stop" operator="between" showDropDown="false" showErrorMessage="false" showInputMessage="false" sqref="T2:T99" type="list">
      <formula1>"To do,In progress,Written,Published"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98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2"/>
    <col collapsed="false" customWidth="true" hidden="false" outlineLevel="0" max="2" min="2" style="0" width="55"/>
    <col collapsed="false" customWidth="true" hidden="false" outlineLevel="0" max="3" min="3" style="0" width="70"/>
    <col collapsed="false" customWidth="true" hidden="false" outlineLevel="0" max="4" min="4" style="0" width="10"/>
  </cols>
  <sheetData>
    <row r="1" customFormat="false" ht="15" hidden="false" customHeight="false" outlineLevel="0" collapsed="false">
      <c r="A1" s="19" t="s">
        <v>810</v>
      </c>
      <c r="B1" s="19" t="s">
        <v>811</v>
      </c>
      <c r="C1" s="19" t="s">
        <v>812</v>
      </c>
      <c r="D1" s="19" t="s">
        <v>813</v>
      </c>
    </row>
    <row r="2" customFormat="false" ht="15" hidden="false" customHeight="false" outlineLevel="0" collapsed="false">
      <c r="A2" s="20" t="s">
        <v>57</v>
      </c>
      <c r="B2" s="20" t="s">
        <v>101</v>
      </c>
      <c r="C2" s="20" t="s">
        <v>102</v>
      </c>
      <c r="D2" s="20" t="s">
        <v>814</v>
      </c>
    </row>
    <row r="3" customFormat="false" ht="15" hidden="false" customHeight="false" outlineLevel="0" collapsed="false">
      <c r="A3" s="20" t="s">
        <v>57</v>
      </c>
      <c r="B3" s="20" t="s">
        <v>110</v>
      </c>
      <c r="C3" s="20" t="s">
        <v>111</v>
      </c>
      <c r="D3" s="20" t="s">
        <v>814</v>
      </c>
    </row>
    <row r="4" customFormat="false" ht="15" hidden="false" customHeight="false" outlineLevel="0" collapsed="false">
      <c r="A4" s="20" t="s">
        <v>57</v>
      </c>
      <c r="B4" s="20" t="s">
        <v>117</v>
      </c>
      <c r="C4" s="20" t="s">
        <v>118</v>
      </c>
      <c r="D4" s="20" t="s">
        <v>814</v>
      </c>
    </row>
    <row r="5" customFormat="false" ht="15" hidden="false" customHeight="false" outlineLevel="0" collapsed="false">
      <c r="A5" s="20" t="s">
        <v>57</v>
      </c>
      <c r="B5" s="20" t="s">
        <v>125</v>
      </c>
      <c r="C5" s="20" t="s">
        <v>126</v>
      </c>
      <c r="D5" s="20" t="s">
        <v>814</v>
      </c>
    </row>
    <row r="6" customFormat="false" ht="15" hidden="false" customHeight="false" outlineLevel="0" collapsed="false">
      <c r="A6" s="20" t="s">
        <v>57</v>
      </c>
      <c r="B6" s="20" t="s">
        <v>132</v>
      </c>
      <c r="C6" s="20" t="s">
        <v>133</v>
      </c>
      <c r="D6" s="20" t="s">
        <v>814</v>
      </c>
    </row>
    <row r="7" customFormat="false" ht="15" hidden="false" customHeight="false" outlineLevel="0" collapsed="false">
      <c r="A7" s="20" t="s">
        <v>57</v>
      </c>
      <c r="B7" s="20" t="s">
        <v>140</v>
      </c>
      <c r="C7" s="20" t="s">
        <v>141</v>
      </c>
      <c r="D7" s="20" t="s">
        <v>814</v>
      </c>
    </row>
    <row r="8" customFormat="false" ht="15" hidden="false" customHeight="false" outlineLevel="0" collapsed="false">
      <c r="A8" s="20" t="s">
        <v>57</v>
      </c>
      <c r="B8" s="20" t="s">
        <v>148</v>
      </c>
      <c r="C8" s="20" t="s">
        <v>149</v>
      </c>
      <c r="D8" s="20" t="s">
        <v>814</v>
      </c>
    </row>
    <row r="9" customFormat="false" ht="15" hidden="false" customHeight="false" outlineLevel="0" collapsed="false">
      <c r="A9" s="20" t="s">
        <v>57</v>
      </c>
      <c r="B9" s="20" t="s">
        <v>155</v>
      </c>
      <c r="C9" s="20" t="s">
        <v>156</v>
      </c>
      <c r="D9" s="20" t="s">
        <v>814</v>
      </c>
    </row>
    <row r="10" customFormat="false" ht="15" hidden="false" customHeight="false" outlineLevel="0" collapsed="false">
      <c r="A10" s="20" t="s">
        <v>57</v>
      </c>
      <c r="B10" s="20" t="s">
        <v>207</v>
      </c>
      <c r="C10" s="20" t="s">
        <v>208</v>
      </c>
      <c r="D10" s="20" t="s">
        <v>814</v>
      </c>
    </row>
    <row r="11" customFormat="false" ht="15" hidden="false" customHeight="false" outlineLevel="0" collapsed="false">
      <c r="A11" s="20" t="s">
        <v>57</v>
      </c>
      <c r="B11" s="20" t="s">
        <v>217</v>
      </c>
      <c r="C11" s="20" t="s">
        <v>218</v>
      </c>
      <c r="D11" s="20" t="s">
        <v>814</v>
      </c>
    </row>
    <row r="12" customFormat="false" ht="15" hidden="false" customHeight="false" outlineLevel="0" collapsed="false">
      <c r="A12" s="20" t="s">
        <v>57</v>
      </c>
      <c r="B12" s="20" t="s">
        <v>226</v>
      </c>
      <c r="C12" s="20" t="s">
        <v>227</v>
      </c>
      <c r="D12" s="20" t="s">
        <v>814</v>
      </c>
    </row>
    <row r="13" customFormat="false" ht="15" hidden="false" customHeight="false" outlineLevel="0" collapsed="false">
      <c r="A13" s="20" t="s">
        <v>57</v>
      </c>
      <c r="B13" s="20" t="s">
        <v>235</v>
      </c>
      <c r="C13" s="20" t="s">
        <v>236</v>
      </c>
      <c r="D13" s="20" t="s">
        <v>814</v>
      </c>
    </row>
    <row r="14" customFormat="false" ht="15" hidden="false" customHeight="false" outlineLevel="0" collapsed="false">
      <c r="A14" s="20" t="s">
        <v>57</v>
      </c>
      <c r="B14" s="20" t="s">
        <v>244</v>
      </c>
      <c r="C14" s="20" t="s">
        <v>245</v>
      </c>
      <c r="D14" s="20" t="s">
        <v>814</v>
      </c>
    </row>
    <row r="15" customFormat="false" ht="15" hidden="false" customHeight="false" outlineLevel="0" collapsed="false">
      <c r="A15" s="20" t="s">
        <v>57</v>
      </c>
      <c r="B15" s="20" t="s">
        <v>815</v>
      </c>
      <c r="C15" s="20" t="s">
        <v>68</v>
      </c>
      <c r="D15" s="20" t="s">
        <v>814</v>
      </c>
    </row>
    <row r="16" customFormat="false" ht="15" hidden="false" customHeight="false" outlineLevel="0" collapsed="false">
      <c r="A16" s="20" t="s">
        <v>57</v>
      </c>
      <c r="B16" s="20" t="s">
        <v>252</v>
      </c>
      <c r="C16" s="20" t="s">
        <v>253</v>
      </c>
      <c r="D16" s="20" t="s">
        <v>814</v>
      </c>
    </row>
    <row r="17" customFormat="false" ht="15" hidden="false" customHeight="false" outlineLevel="0" collapsed="false">
      <c r="A17" s="20" t="s">
        <v>57</v>
      </c>
      <c r="B17" s="20" t="s">
        <v>269</v>
      </c>
      <c r="C17" s="20" t="s">
        <v>270</v>
      </c>
      <c r="D17" s="20" t="s">
        <v>814</v>
      </c>
    </row>
    <row r="18" customFormat="false" ht="15" hidden="false" customHeight="false" outlineLevel="0" collapsed="false">
      <c r="A18" s="20" t="s">
        <v>57</v>
      </c>
      <c r="B18" s="20" t="s">
        <v>85</v>
      </c>
      <c r="C18" s="20" t="s">
        <v>86</v>
      </c>
      <c r="D18" s="20" t="s">
        <v>814</v>
      </c>
    </row>
    <row r="19" customFormat="false" ht="15" hidden="false" customHeight="false" outlineLevel="0" collapsed="false">
      <c r="A19" s="20" t="s">
        <v>57</v>
      </c>
      <c r="B19" s="20" t="s">
        <v>816</v>
      </c>
      <c r="C19" s="20" t="s">
        <v>817</v>
      </c>
      <c r="D19" s="20" t="s">
        <v>818</v>
      </c>
    </row>
    <row r="20" customFormat="false" ht="15" hidden="false" customHeight="false" outlineLevel="0" collapsed="false">
      <c r="A20" s="20" t="s">
        <v>68</v>
      </c>
      <c r="B20" s="20" t="s">
        <v>101</v>
      </c>
      <c r="C20" s="20" t="s">
        <v>102</v>
      </c>
      <c r="D20" s="20" t="s">
        <v>814</v>
      </c>
    </row>
    <row r="21" customFormat="false" ht="15" hidden="false" customHeight="false" outlineLevel="0" collapsed="false">
      <c r="A21" s="20" t="s">
        <v>68</v>
      </c>
      <c r="B21" s="20" t="s">
        <v>110</v>
      </c>
      <c r="C21" s="20" t="s">
        <v>111</v>
      </c>
      <c r="D21" s="20" t="s">
        <v>814</v>
      </c>
    </row>
    <row r="22" customFormat="false" ht="15" hidden="false" customHeight="false" outlineLevel="0" collapsed="false">
      <c r="A22" s="20" t="s">
        <v>68</v>
      </c>
      <c r="B22" s="20" t="s">
        <v>117</v>
      </c>
      <c r="C22" s="20" t="s">
        <v>118</v>
      </c>
      <c r="D22" s="20" t="s">
        <v>814</v>
      </c>
    </row>
    <row r="23" customFormat="false" ht="15" hidden="false" customHeight="false" outlineLevel="0" collapsed="false">
      <c r="A23" s="20" t="s">
        <v>68</v>
      </c>
      <c r="B23" s="20" t="s">
        <v>125</v>
      </c>
      <c r="C23" s="20" t="s">
        <v>126</v>
      </c>
      <c r="D23" s="20" t="s">
        <v>814</v>
      </c>
    </row>
    <row r="24" customFormat="false" ht="15" hidden="false" customHeight="false" outlineLevel="0" collapsed="false">
      <c r="A24" s="20" t="s">
        <v>68</v>
      </c>
      <c r="B24" s="20" t="s">
        <v>132</v>
      </c>
      <c r="C24" s="20" t="s">
        <v>133</v>
      </c>
      <c r="D24" s="20" t="s">
        <v>814</v>
      </c>
    </row>
    <row r="25" customFormat="false" ht="15" hidden="false" customHeight="false" outlineLevel="0" collapsed="false">
      <c r="A25" s="20" t="s">
        <v>68</v>
      </c>
      <c r="B25" s="20" t="s">
        <v>140</v>
      </c>
      <c r="C25" s="20" t="s">
        <v>141</v>
      </c>
      <c r="D25" s="20" t="s">
        <v>814</v>
      </c>
    </row>
    <row r="26" customFormat="false" ht="15" hidden="false" customHeight="false" outlineLevel="0" collapsed="false">
      <c r="A26" s="20" t="s">
        <v>68</v>
      </c>
      <c r="B26" s="20" t="s">
        <v>148</v>
      </c>
      <c r="C26" s="20" t="s">
        <v>149</v>
      </c>
      <c r="D26" s="20" t="s">
        <v>814</v>
      </c>
    </row>
    <row r="27" customFormat="false" ht="15" hidden="false" customHeight="false" outlineLevel="0" collapsed="false">
      <c r="A27" s="20" t="s">
        <v>68</v>
      </c>
      <c r="B27" s="20" t="s">
        <v>155</v>
      </c>
      <c r="C27" s="20" t="s">
        <v>156</v>
      </c>
      <c r="D27" s="20" t="s">
        <v>814</v>
      </c>
    </row>
    <row r="28" customFormat="false" ht="15" hidden="false" customHeight="false" outlineLevel="0" collapsed="false">
      <c r="A28" s="20" t="s">
        <v>68</v>
      </c>
      <c r="B28" s="20" t="s">
        <v>162</v>
      </c>
      <c r="C28" s="20" t="s">
        <v>163</v>
      </c>
      <c r="D28" s="20" t="s">
        <v>814</v>
      </c>
    </row>
    <row r="29" customFormat="false" ht="15" hidden="false" customHeight="false" outlineLevel="0" collapsed="false">
      <c r="A29" s="20" t="s">
        <v>68</v>
      </c>
      <c r="B29" s="20" t="s">
        <v>169</v>
      </c>
      <c r="C29" s="20" t="s">
        <v>170</v>
      </c>
      <c r="D29" s="20" t="s">
        <v>814</v>
      </c>
    </row>
    <row r="30" customFormat="false" ht="15" hidden="false" customHeight="false" outlineLevel="0" collapsed="false">
      <c r="A30" s="20" t="s">
        <v>68</v>
      </c>
      <c r="B30" s="20" t="s">
        <v>176</v>
      </c>
      <c r="C30" s="20" t="s">
        <v>177</v>
      </c>
      <c r="D30" s="20" t="s">
        <v>814</v>
      </c>
    </row>
    <row r="31" customFormat="false" ht="15" hidden="false" customHeight="false" outlineLevel="0" collapsed="false">
      <c r="A31" s="20" t="s">
        <v>68</v>
      </c>
      <c r="B31" s="20" t="s">
        <v>183</v>
      </c>
      <c r="C31" s="20" t="s">
        <v>184</v>
      </c>
      <c r="D31" s="20" t="s">
        <v>814</v>
      </c>
    </row>
    <row r="32" customFormat="false" ht="15" hidden="false" customHeight="false" outlineLevel="0" collapsed="false">
      <c r="A32" s="20" t="s">
        <v>68</v>
      </c>
      <c r="B32" s="20" t="s">
        <v>190</v>
      </c>
      <c r="C32" s="20" t="s">
        <v>191</v>
      </c>
      <c r="D32" s="20" t="s">
        <v>814</v>
      </c>
    </row>
    <row r="33" customFormat="false" ht="15" hidden="false" customHeight="false" outlineLevel="0" collapsed="false">
      <c r="A33" s="20" t="s">
        <v>68</v>
      </c>
      <c r="B33" s="20" t="s">
        <v>198</v>
      </c>
      <c r="C33" s="20" t="s">
        <v>199</v>
      </c>
      <c r="D33" s="20" t="s">
        <v>814</v>
      </c>
    </row>
    <row r="34" customFormat="false" ht="15" hidden="false" customHeight="false" outlineLevel="0" collapsed="false">
      <c r="A34" s="20" t="s">
        <v>68</v>
      </c>
      <c r="B34" s="20" t="s">
        <v>207</v>
      </c>
      <c r="C34" s="20" t="s">
        <v>208</v>
      </c>
      <c r="D34" s="20" t="s">
        <v>814</v>
      </c>
    </row>
    <row r="35" customFormat="false" ht="15" hidden="false" customHeight="false" outlineLevel="0" collapsed="false">
      <c r="A35" s="20" t="s">
        <v>68</v>
      </c>
      <c r="B35" s="20" t="s">
        <v>217</v>
      </c>
      <c r="C35" s="20" t="s">
        <v>218</v>
      </c>
      <c r="D35" s="20" t="s">
        <v>814</v>
      </c>
    </row>
    <row r="36" customFormat="false" ht="15" hidden="false" customHeight="false" outlineLevel="0" collapsed="false">
      <c r="A36" s="20" t="s">
        <v>68</v>
      </c>
      <c r="B36" s="20" t="s">
        <v>226</v>
      </c>
      <c r="C36" s="20" t="s">
        <v>227</v>
      </c>
      <c r="D36" s="20" t="s">
        <v>814</v>
      </c>
    </row>
    <row r="37" customFormat="false" ht="15" hidden="false" customHeight="false" outlineLevel="0" collapsed="false">
      <c r="A37" s="20" t="s">
        <v>68</v>
      </c>
      <c r="B37" s="20" t="s">
        <v>235</v>
      </c>
      <c r="C37" s="20" t="s">
        <v>236</v>
      </c>
      <c r="D37" s="20" t="s">
        <v>814</v>
      </c>
    </row>
    <row r="38" customFormat="false" ht="15" hidden="false" customHeight="false" outlineLevel="0" collapsed="false">
      <c r="A38" s="20" t="s">
        <v>68</v>
      </c>
      <c r="B38" s="20" t="s">
        <v>244</v>
      </c>
      <c r="C38" s="20" t="s">
        <v>245</v>
      </c>
      <c r="D38" s="20" t="s">
        <v>814</v>
      </c>
    </row>
    <row r="39" customFormat="false" ht="15" hidden="false" customHeight="false" outlineLevel="0" collapsed="false">
      <c r="A39" s="20" t="s">
        <v>68</v>
      </c>
      <c r="B39" s="20" t="s">
        <v>56</v>
      </c>
      <c r="C39" s="20" t="s">
        <v>57</v>
      </c>
      <c r="D39" s="20" t="s">
        <v>814</v>
      </c>
    </row>
    <row r="40" customFormat="false" ht="15" hidden="false" customHeight="false" outlineLevel="0" collapsed="false">
      <c r="A40" s="20" t="s">
        <v>68</v>
      </c>
      <c r="B40" s="20" t="s">
        <v>85</v>
      </c>
      <c r="C40" s="20" t="s">
        <v>86</v>
      </c>
      <c r="D40" s="20" t="s">
        <v>814</v>
      </c>
    </row>
    <row r="41" customFormat="false" ht="15" hidden="false" customHeight="false" outlineLevel="0" collapsed="false">
      <c r="A41" s="20" t="s">
        <v>78</v>
      </c>
      <c r="B41" s="20" t="s">
        <v>67</v>
      </c>
      <c r="C41" s="20" t="s">
        <v>68</v>
      </c>
      <c r="D41" s="20" t="s">
        <v>814</v>
      </c>
    </row>
    <row r="42" customFormat="false" ht="15" hidden="false" customHeight="false" outlineLevel="0" collapsed="false">
      <c r="A42" s="20" t="s">
        <v>78</v>
      </c>
      <c r="B42" s="20" t="s">
        <v>260</v>
      </c>
      <c r="C42" s="20" t="s">
        <v>261</v>
      </c>
      <c r="D42" s="20" t="s">
        <v>814</v>
      </c>
    </row>
    <row r="43" customFormat="false" ht="15" hidden="false" customHeight="false" outlineLevel="0" collapsed="false">
      <c r="A43" s="20" t="s">
        <v>78</v>
      </c>
      <c r="B43" s="20" t="s">
        <v>269</v>
      </c>
      <c r="C43" s="20" t="s">
        <v>270</v>
      </c>
      <c r="D43" s="20" t="s">
        <v>814</v>
      </c>
    </row>
    <row r="44" customFormat="false" ht="15" hidden="false" customHeight="false" outlineLevel="0" collapsed="false">
      <c r="A44" s="20" t="s">
        <v>78</v>
      </c>
      <c r="B44" s="20" t="s">
        <v>85</v>
      </c>
      <c r="C44" s="20" t="s">
        <v>86</v>
      </c>
      <c r="D44" s="20" t="s">
        <v>814</v>
      </c>
    </row>
    <row r="45" customFormat="false" ht="15" hidden="false" customHeight="false" outlineLevel="0" collapsed="false">
      <c r="A45" s="20" t="s">
        <v>86</v>
      </c>
      <c r="B45" s="20" t="s">
        <v>67</v>
      </c>
      <c r="C45" s="20" t="s">
        <v>68</v>
      </c>
      <c r="D45" s="20" t="s">
        <v>814</v>
      </c>
    </row>
    <row r="46" customFormat="false" ht="15" hidden="false" customHeight="false" outlineLevel="0" collapsed="false">
      <c r="A46" s="20" t="s">
        <v>86</v>
      </c>
      <c r="B46" s="20" t="s">
        <v>260</v>
      </c>
      <c r="C46" s="20" t="s">
        <v>261</v>
      </c>
      <c r="D46" s="20" t="s">
        <v>814</v>
      </c>
    </row>
    <row r="47" customFormat="false" ht="15" hidden="false" customHeight="false" outlineLevel="0" collapsed="false">
      <c r="A47" s="20" t="s">
        <v>86</v>
      </c>
      <c r="B47" s="20" t="s">
        <v>93</v>
      </c>
      <c r="C47" s="20" t="s">
        <v>94</v>
      </c>
      <c r="D47" s="20" t="s">
        <v>814</v>
      </c>
    </row>
    <row r="48" customFormat="false" ht="15" hidden="false" customHeight="false" outlineLevel="0" collapsed="false">
      <c r="A48" s="20" t="s">
        <v>94</v>
      </c>
      <c r="B48" s="20" t="s">
        <v>67</v>
      </c>
      <c r="C48" s="20" t="s">
        <v>68</v>
      </c>
      <c r="D48" s="20" t="s">
        <v>814</v>
      </c>
    </row>
    <row r="49" customFormat="false" ht="15" hidden="false" customHeight="false" outlineLevel="0" collapsed="false">
      <c r="A49" s="20" t="s">
        <v>94</v>
      </c>
      <c r="B49" s="20" t="s">
        <v>252</v>
      </c>
      <c r="C49" s="20" t="s">
        <v>253</v>
      </c>
      <c r="D49" s="20" t="s">
        <v>814</v>
      </c>
    </row>
    <row r="50" customFormat="false" ht="15" hidden="false" customHeight="false" outlineLevel="0" collapsed="false">
      <c r="A50" s="20" t="s">
        <v>94</v>
      </c>
      <c r="B50" s="20" t="s">
        <v>85</v>
      </c>
      <c r="C50" s="20" t="s">
        <v>86</v>
      </c>
      <c r="D50" s="20" t="s">
        <v>814</v>
      </c>
    </row>
    <row r="51" customFormat="false" ht="15" hidden="false" customHeight="false" outlineLevel="0" collapsed="false">
      <c r="A51" s="20" t="s">
        <v>102</v>
      </c>
      <c r="B51" s="20" t="s">
        <v>67</v>
      </c>
      <c r="C51" s="20" t="s">
        <v>68</v>
      </c>
      <c r="D51" s="20" t="s">
        <v>814</v>
      </c>
    </row>
    <row r="52" customFormat="false" ht="15" hidden="false" customHeight="false" outlineLevel="0" collapsed="false">
      <c r="A52" s="20" t="s">
        <v>102</v>
      </c>
      <c r="B52" s="20" t="s">
        <v>110</v>
      </c>
      <c r="C52" s="20" t="s">
        <v>111</v>
      </c>
      <c r="D52" s="20" t="s">
        <v>814</v>
      </c>
    </row>
    <row r="53" customFormat="false" ht="15" hidden="false" customHeight="false" outlineLevel="0" collapsed="false">
      <c r="A53" s="20" t="s">
        <v>102</v>
      </c>
      <c r="B53" s="20" t="s">
        <v>169</v>
      </c>
      <c r="C53" s="20" t="s">
        <v>170</v>
      </c>
      <c r="D53" s="20" t="s">
        <v>814</v>
      </c>
    </row>
    <row r="54" customFormat="false" ht="15" hidden="false" customHeight="false" outlineLevel="0" collapsed="false">
      <c r="A54" s="20" t="s">
        <v>102</v>
      </c>
      <c r="B54" s="20" t="s">
        <v>176</v>
      </c>
      <c r="C54" s="20" t="s">
        <v>177</v>
      </c>
      <c r="D54" s="20" t="s">
        <v>814</v>
      </c>
    </row>
    <row r="55" customFormat="false" ht="15" hidden="false" customHeight="false" outlineLevel="0" collapsed="false">
      <c r="A55" s="20" t="s">
        <v>102</v>
      </c>
      <c r="B55" s="20" t="s">
        <v>819</v>
      </c>
      <c r="C55" s="20" t="s">
        <v>286</v>
      </c>
      <c r="D55" s="20" t="s">
        <v>814</v>
      </c>
    </row>
    <row r="56" customFormat="false" ht="15" hidden="false" customHeight="false" outlineLevel="0" collapsed="false">
      <c r="A56" s="20" t="s">
        <v>102</v>
      </c>
      <c r="B56" s="20" t="s">
        <v>820</v>
      </c>
      <c r="C56" s="20" t="s">
        <v>295</v>
      </c>
      <c r="D56" s="20" t="s">
        <v>814</v>
      </c>
    </row>
    <row r="57" customFormat="false" ht="15" hidden="false" customHeight="false" outlineLevel="0" collapsed="false">
      <c r="A57" s="20" t="s">
        <v>102</v>
      </c>
      <c r="B57" s="20" t="s">
        <v>821</v>
      </c>
      <c r="C57" s="20" t="s">
        <v>304</v>
      </c>
      <c r="D57" s="20" t="s">
        <v>814</v>
      </c>
    </row>
    <row r="58" customFormat="false" ht="15" hidden="false" customHeight="false" outlineLevel="0" collapsed="false">
      <c r="A58" s="20" t="s">
        <v>102</v>
      </c>
      <c r="B58" s="20" t="s">
        <v>822</v>
      </c>
      <c r="C58" s="20" t="s">
        <v>313</v>
      </c>
      <c r="D58" s="20" t="s">
        <v>814</v>
      </c>
    </row>
    <row r="59" customFormat="false" ht="15" hidden="false" customHeight="false" outlineLevel="0" collapsed="false">
      <c r="A59" s="20" t="s">
        <v>102</v>
      </c>
      <c r="B59" s="20" t="s">
        <v>823</v>
      </c>
      <c r="C59" s="20" t="s">
        <v>322</v>
      </c>
      <c r="D59" s="20" t="s">
        <v>814</v>
      </c>
    </row>
    <row r="60" customFormat="false" ht="15" hidden="false" customHeight="false" outlineLevel="0" collapsed="false">
      <c r="A60" s="20" t="s">
        <v>102</v>
      </c>
      <c r="B60" s="20" t="s">
        <v>252</v>
      </c>
      <c r="C60" s="20" t="s">
        <v>253</v>
      </c>
      <c r="D60" s="20" t="s">
        <v>814</v>
      </c>
    </row>
    <row r="61" customFormat="false" ht="15" hidden="false" customHeight="false" outlineLevel="0" collapsed="false">
      <c r="A61" s="20" t="s">
        <v>102</v>
      </c>
      <c r="B61" s="20" t="s">
        <v>260</v>
      </c>
      <c r="C61" s="20" t="s">
        <v>261</v>
      </c>
      <c r="D61" s="20" t="s">
        <v>814</v>
      </c>
    </row>
    <row r="62" customFormat="false" ht="15" hidden="false" customHeight="false" outlineLevel="0" collapsed="false">
      <c r="A62" s="20" t="s">
        <v>102</v>
      </c>
      <c r="B62" s="20" t="s">
        <v>85</v>
      </c>
      <c r="C62" s="20" t="s">
        <v>86</v>
      </c>
      <c r="D62" s="20" t="s">
        <v>814</v>
      </c>
    </row>
    <row r="63" customFormat="false" ht="15" hidden="false" customHeight="false" outlineLevel="0" collapsed="false">
      <c r="A63" s="20" t="s">
        <v>102</v>
      </c>
      <c r="B63" s="20" t="s">
        <v>269</v>
      </c>
      <c r="C63" s="20" t="s">
        <v>270</v>
      </c>
      <c r="D63" s="20" t="s">
        <v>814</v>
      </c>
    </row>
    <row r="64" customFormat="false" ht="15" hidden="false" customHeight="false" outlineLevel="0" collapsed="false">
      <c r="A64" s="20" t="s">
        <v>102</v>
      </c>
      <c r="B64" s="20" t="s">
        <v>824</v>
      </c>
      <c r="C64" s="20" t="s">
        <v>825</v>
      </c>
      <c r="D64" s="20" t="s">
        <v>818</v>
      </c>
    </row>
    <row r="65" customFormat="false" ht="15" hidden="false" customHeight="false" outlineLevel="0" collapsed="false">
      <c r="A65" s="20" t="s">
        <v>102</v>
      </c>
      <c r="B65" s="20" t="s">
        <v>816</v>
      </c>
      <c r="C65" s="20" t="s">
        <v>817</v>
      </c>
      <c r="D65" s="20" t="s">
        <v>818</v>
      </c>
    </row>
    <row r="66" customFormat="false" ht="15" hidden="false" customHeight="false" outlineLevel="0" collapsed="false">
      <c r="A66" s="20" t="s">
        <v>111</v>
      </c>
      <c r="B66" s="20" t="s">
        <v>67</v>
      </c>
      <c r="C66" s="20" t="s">
        <v>68</v>
      </c>
      <c r="D66" s="20" t="s">
        <v>814</v>
      </c>
    </row>
    <row r="67" customFormat="false" ht="15" hidden="false" customHeight="false" outlineLevel="0" collapsed="false">
      <c r="A67" s="20" t="s">
        <v>111</v>
      </c>
      <c r="B67" s="20" t="s">
        <v>101</v>
      </c>
      <c r="C67" s="20" t="s">
        <v>102</v>
      </c>
      <c r="D67" s="20" t="s">
        <v>814</v>
      </c>
    </row>
    <row r="68" customFormat="false" ht="15" hidden="false" customHeight="false" outlineLevel="0" collapsed="false">
      <c r="A68" s="20" t="s">
        <v>111</v>
      </c>
      <c r="B68" s="20" t="s">
        <v>169</v>
      </c>
      <c r="C68" s="20" t="s">
        <v>170</v>
      </c>
      <c r="D68" s="20" t="s">
        <v>814</v>
      </c>
    </row>
    <row r="69" customFormat="false" ht="15" hidden="false" customHeight="false" outlineLevel="0" collapsed="false">
      <c r="A69" s="20" t="s">
        <v>111</v>
      </c>
      <c r="B69" s="20" t="s">
        <v>190</v>
      </c>
      <c r="C69" s="20" t="s">
        <v>191</v>
      </c>
      <c r="D69" s="20" t="s">
        <v>814</v>
      </c>
    </row>
    <row r="70" customFormat="false" ht="15" hidden="false" customHeight="false" outlineLevel="0" collapsed="false">
      <c r="A70" s="20" t="s">
        <v>111</v>
      </c>
      <c r="B70" s="20" t="s">
        <v>826</v>
      </c>
      <c r="C70" s="20" t="s">
        <v>331</v>
      </c>
      <c r="D70" s="20" t="s">
        <v>814</v>
      </c>
    </row>
    <row r="71" customFormat="false" ht="15" hidden="false" customHeight="false" outlineLevel="0" collapsed="false">
      <c r="A71" s="20" t="s">
        <v>111</v>
      </c>
      <c r="B71" s="20" t="s">
        <v>827</v>
      </c>
      <c r="C71" s="20" t="s">
        <v>338</v>
      </c>
      <c r="D71" s="20" t="s">
        <v>814</v>
      </c>
    </row>
    <row r="72" customFormat="false" ht="15" hidden="false" customHeight="false" outlineLevel="0" collapsed="false">
      <c r="A72" s="20" t="s">
        <v>111</v>
      </c>
      <c r="B72" s="20" t="s">
        <v>828</v>
      </c>
      <c r="C72" s="20" t="s">
        <v>345</v>
      </c>
      <c r="D72" s="20" t="s">
        <v>814</v>
      </c>
    </row>
    <row r="73" customFormat="false" ht="15" hidden="false" customHeight="false" outlineLevel="0" collapsed="false">
      <c r="A73" s="20" t="s">
        <v>111</v>
      </c>
      <c r="B73" s="20" t="s">
        <v>829</v>
      </c>
      <c r="C73" s="20" t="s">
        <v>352</v>
      </c>
      <c r="D73" s="20" t="s">
        <v>814</v>
      </c>
    </row>
    <row r="74" customFormat="false" ht="15" hidden="false" customHeight="false" outlineLevel="0" collapsed="false">
      <c r="A74" s="20" t="s">
        <v>111</v>
      </c>
      <c r="B74" s="20" t="s">
        <v>830</v>
      </c>
      <c r="C74" s="20" t="s">
        <v>359</v>
      </c>
      <c r="D74" s="20" t="s">
        <v>814</v>
      </c>
    </row>
    <row r="75" customFormat="false" ht="15" hidden="false" customHeight="false" outlineLevel="0" collapsed="false">
      <c r="A75" s="20" t="s">
        <v>111</v>
      </c>
      <c r="B75" s="20" t="s">
        <v>252</v>
      </c>
      <c r="C75" s="20" t="s">
        <v>253</v>
      </c>
      <c r="D75" s="20" t="s">
        <v>814</v>
      </c>
    </row>
    <row r="76" customFormat="false" ht="15" hidden="false" customHeight="false" outlineLevel="0" collapsed="false">
      <c r="A76" s="20" t="s">
        <v>111</v>
      </c>
      <c r="B76" s="20" t="s">
        <v>260</v>
      </c>
      <c r="C76" s="20" t="s">
        <v>261</v>
      </c>
      <c r="D76" s="20" t="s">
        <v>814</v>
      </c>
    </row>
    <row r="77" customFormat="false" ht="15" hidden="false" customHeight="false" outlineLevel="0" collapsed="false">
      <c r="A77" s="20" t="s">
        <v>111</v>
      </c>
      <c r="B77" s="20" t="s">
        <v>85</v>
      </c>
      <c r="C77" s="20" t="s">
        <v>86</v>
      </c>
      <c r="D77" s="20" t="s">
        <v>814</v>
      </c>
    </row>
    <row r="78" customFormat="false" ht="15" hidden="false" customHeight="false" outlineLevel="0" collapsed="false">
      <c r="A78" s="20" t="s">
        <v>111</v>
      </c>
      <c r="B78" s="20" t="s">
        <v>269</v>
      </c>
      <c r="C78" s="20" t="s">
        <v>270</v>
      </c>
      <c r="D78" s="20" t="s">
        <v>814</v>
      </c>
    </row>
    <row r="79" customFormat="false" ht="15" hidden="false" customHeight="false" outlineLevel="0" collapsed="false">
      <c r="A79" s="20" t="s">
        <v>111</v>
      </c>
      <c r="B79" s="20" t="s">
        <v>824</v>
      </c>
      <c r="C79" s="20" t="s">
        <v>825</v>
      </c>
      <c r="D79" s="20" t="s">
        <v>818</v>
      </c>
    </row>
    <row r="80" customFormat="false" ht="15" hidden="false" customHeight="false" outlineLevel="0" collapsed="false">
      <c r="A80" s="20" t="s">
        <v>111</v>
      </c>
      <c r="B80" s="20" t="s">
        <v>816</v>
      </c>
      <c r="C80" s="20" t="s">
        <v>817</v>
      </c>
      <c r="D80" s="20" t="s">
        <v>818</v>
      </c>
    </row>
    <row r="81" customFormat="false" ht="15" hidden="false" customHeight="false" outlineLevel="0" collapsed="false">
      <c r="A81" s="20" t="s">
        <v>118</v>
      </c>
      <c r="B81" s="20" t="s">
        <v>67</v>
      </c>
      <c r="C81" s="20" t="s">
        <v>68</v>
      </c>
      <c r="D81" s="20" t="s">
        <v>814</v>
      </c>
    </row>
    <row r="82" customFormat="false" ht="15" hidden="false" customHeight="false" outlineLevel="0" collapsed="false">
      <c r="A82" s="20" t="s">
        <v>118</v>
      </c>
      <c r="B82" s="20" t="s">
        <v>125</v>
      </c>
      <c r="C82" s="20" t="s">
        <v>126</v>
      </c>
      <c r="D82" s="20" t="s">
        <v>814</v>
      </c>
    </row>
    <row r="83" customFormat="false" ht="15" hidden="false" customHeight="false" outlineLevel="0" collapsed="false">
      <c r="A83" s="20" t="s">
        <v>118</v>
      </c>
      <c r="B83" s="20" t="s">
        <v>132</v>
      </c>
      <c r="C83" s="20" t="s">
        <v>133</v>
      </c>
      <c r="D83" s="20" t="s">
        <v>814</v>
      </c>
    </row>
    <row r="84" customFormat="false" ht="15" hidden="false" customHeight="false" outlineLevel="0" collapsed="false">
      <c r="A84" s="20" t="s">
        <v>118</v>
      </c>
      <c r="B84" s="20" t="s">
        <v>101</v>
      </c>
      <c r="C84" s="20" t="s">
        <v>102</v>
      </c>
      <c r="D84" s="20" t="s">
        <v>814</v>
      </c>
    </row>
    <row r="85" customFormat="false" ht="15" hidden="false" customHeight="false" outlineLevel="0" collapsed="false">
      <c r="A85" s="20" t="s">
        <v>118</v>
      </c>
      <c r="B85" s="20" t="s">
        <v>831</v>
      </c>
      <c r="C85" s="20" t="s">
        <v>366</v>
      </c>
      <c r="D85" s="20" t="s">
        <v>814</v>
      </c>
    </row>
    <row r="86" customFormat="false" ht="15" hidden="false" customHeight="false" outlineLevel="0" collapsed="false">
      <c r="A86" s="20" t="s">
        <v>118</v>
      </c>
      <c r="B86" s="20" t="s">
        <v>832</v>
      </c>
      <c r="C86" s="20" t="s">
        <v>374</v>
      </c>
      <c r="D86" s="20" t="s">
        <v>814</v>
      </c>
    </row>
    <row r="87" customFormat="false" ht="15" hidden="false" customHeight="false" outlineLevel="0" collapsed="false">
      <c r="A87" s="20" t="s">
        <v>118</v>
      </c>
      <c r="B87" s="20" t="s">
        <v>833</v>
      </c>
      <c r="C87" s="20" t="s">
        <v>382</v>
      </c>
      <c r="D87" s="20" t="s">
        <v>814</v>
      </c>
    </row>
    <row r="88" customFormat="false" ht="15" hidden="false" customHeight="false" outlineLevel="0" collapsed="false">
      <c r="A88" s="20" t="s">
        <v>118</v>
      </c>
      <c r="B88" s="20" t="s">
        <v>834</v>
      </c>
      <c r="C88" s="20" t="s">
        <v>390</v>
      </c>
      <c r="D88" s="20" t="s">
        <v>814</v>
      </c>
    </row>
    <row r="89" customFormat="false" ht="15" hidden="false" customHeight="false" outlineLevel="0" collapsed="false">
      <c r="A89" s="20" t="s">
        <v>118</v>
      </c>
      <c r="B89" s="20" t="s">
        <v>835</v>
      </c>
      <c r="C89" s="20" t="s">
        <v>398</v>
      </c>
      <c r="D89" s="20" t="s">
        <v>814</v>
      </c>
    </row>
    <row r="90" customFormat="false" ht="15" hidden="false" customHeight="false" outlineLevel="0" collapsed="false">
      <c r="A90" s="20" t="s">
        <v>118</v>
      </c>
      <c r="B90" s="20" t="s">
        <v>252</v>
      </c>
      <c r="C90" s="20" t="s">
        <v>253</v>
      </c>
      <c r="D90" s="20" t="s">
        <v>814</v>
      </c>
    </row>
    <row r="91" customFormat="false" ht="15" hidden="false" customHeight="false" outlineLevel="0" collapsed="false">
      <c r="A91" s="20" t="s">
        <v>118</v>
      </c>
      <c r="B91" s="20" t="s">
        <v>260</v>
      </c>
      <c r="C91" s="20" t="s">
        <v>261</v>
      </c>
      <c r="D91" s="20" t="s">
        <v>814</v>
      </c>
    </row>
    <row r="92" customFormat="false" ht="15" hidden="false" customHeight="false" outlineLevel="0" collapsed="false">
      <c r="A92" s="20" t="s">
        <v>118</v>
      </c>
      <c r="B92" s="20" t="s">
        <v>85</v>
      </c>
      <c r="C92" s="20" t="s">
        <v>86</v>
      </c>
      <c r="D92" s="20" t="s">
        <v>814</v>
      </c>
    </row>
    <row r="93" customFormat="false" ht="15" hidden="false" customHeight="false" outlineLevel="0" collapsed="false">
      <c r="A93" s="20" t="s">
        <v>118</v>
      </c>
      <c r="B93" s="20" t="s">
        <v>269</v>
      </c>
      <c r="C93" s="20" t="s">
        <v>270</v>
      </c>
      <c r="D93" s="20" t="s">
        <v>814</v>
      </c>
    </row>
    <row r="94" customFormat="false" ht="15" hidden="false" customHeight="false" outlineLevel="0" collapsed="false">
      <c r="A94" s="20" t="s">
        <v>118</v>
      </c>
      <c r="B94" s="20" t="s">
        <v>836</v>
      </c>
      <c r="C94" s="20" t="s">
        <v>837</v>
      </c>
      <c r="D94" s="20" t="s">
        <v>818</v>
      </c>
    </row>
    <row r="95" customFormat="false" ht="15" hidden="false" customHeight="false" outlineLevel="0" collapsed="false">
      <c r="A95" s="20" t="s">
        <v>118</v>
      </c>
      <c r="B95" s="20" t="s">
        <v>816</v>
      </c>
      <c r="C95" s="20" t="s">
        <v>817</v>
      </c>
      <c r="D95" s="20" t="s">
        <v>818</v>
      </c>
    </row>
    <row r="96" customFormat="false" ht="15" hidden="false" customHeight="false" outlineLevel="0" collapsed="false">
      <c r="A96" s="20" t="s">
        <v>126</v>
      </c>
      <c r="B96" s="20" t="s">
        <v>67</v>
      </c>
      <c r="C96" s="20" t="s">
        <v>68</v>
      </c>
      <c r="D96" s="20" t="s">
        <v>814</v>
      </c>
    </row>
    <row r="97" customFormat="false" ht="15" hidden="false" customHeight="false" outlineLevel="0" collapsed="false">
      <c r="A97" s="20" t="s">
        <v>126</v>
      </c>
      <c r="B97" s="20" t="s">
        <v>117</v>
      </c>
      <c r="C97" s="20" t="s">
        <v>118</v>
      </c>
      <c r="D97" s="20" t="s">
        <v>814</v>
      </c>
    </row>
    <row r="98" customFormat="false" ht="15" hidden="false" customHeight="false" outlineLevel="0" collapsed="false">
      <c r="A98" s="20" t="s">
        <v>126</v>
      </c>
      <c r="B98" s="20" t="s">
        <v>132</v>
      </c>
      <c r="C98" s="20" t="s">
        <v>133</v>
      </c>
      <c r="D98" s="20" t="s">
        <v>814</v>
      </c>
    </row>
    <row r="99" customFormat="false" ht="15" hidden="false" customHeight="false" outlineLevel="0" collapsed="false">
      <c r="A99" s="20" t="s">
        <v>126</v>
      </c>
      <c r="B99" s="20" t="s">
        <v>148</v>
      </c>
      <c r="C99" s="20" t="s">
        <v>149</v>
      </c>
      <c r="D99" s="20" t="s">
        <v>814</v>
      </c>
    </row>
    <row r="100" customFormat="false" ht="15" hidden="false" customHeight="false" outlineLevel="0" collapsed="false">
      <c r="A100" s="20" t="s">
        <v>126</v>
      </c>
      <c r="B100" s="20" t="s">
        <v>838</v>
      </c>
      <c r="C100" s="20" t="s">
        <v>406</v>
      </c>
      <c r="D100" s="20" t="s">
        <v>814</v>
      </c>
    </row>
    <row r="101" customFormat="false" ht="15" hidden="false" customHeight="false" outlineLevel="0" collapsed="false">
      <c r="A101" s="20" t="s">
        <v>126</v>
      </c>
      <c r="B101" s="20" t="s">
        <v>839</v>
      </c>
      <c r="C101" s="20" t="s">
        <v>413</v>
      </c>
      <c r="D101" s="20" t="s">
        <v>814</v>
      </c>
    </row>
    <row r="102" customFormat="false" ht="15" hidden="false" customHeight="false" outlineLevel="0" collapsed="false">
      <c r="A102" s="20" t="s">
        <v>126</v>
      </c>
      <c r="B102" s="20" t="s">
        <v>840</v>
      </c>
      <c r="C102" s="20" t="s">
        <v>420</v>
      </c>
      <c r="D102" s="20" t="s">
        <v>814</v>
      </c>
    </row>
    <row r="103" customFormat="false" ht="15" hidden="false" customHeight="false" outlineLevel="0" collapsed="false">
      <c r="A103" s="20" t="s">
        <v>126</v>
      </c>
      <c r="B103" s="20" t="s">
        <v>841</v>
      </c>
      <c r="C103" s="20" t="s">
        <v>427</v>
      </c>
      <c r="D103" s="20" t="s">
        <v>814</v>
      </c>
    </row>
    <row r="104" customFormat="false" ht="15" hidden="false" customHeight="false" outlineLevel="0" collapsed="false">
      <c r="A104" s="20" t="s">
        <v>126</v>
      </c>
      <c r="B104" s="20" t="s">
        <v>842</v>
      </c>
      <c r="C104" s="20" t="s">
        <v>434</v>
      </c>
      <c r="D104" s="20" t="s">
        <v>814</v>
      </c>
    </row>
    <row r="105" customFormat="false" ht="15" hidden="false" customHeight="false" outlineLevel="0" collapsed="false">
      <c r="A105" s="20" t="s">
        <v>126</v>
      </c>
      <c r="B105" s="20" t="s">
        <v>252</v>
      </c>
      <c r="C105" s="20" t="s">
        <v>253</v>
      </c>
      <c r="D105" s="20" t="s">
        <v>814</v>
      </c>
    </row>
    <row r="106" customFormat="false" ht="15" hidden="false" customHeight="false" outlineLevel="0" collapsed="false">
      <c r="A106" s="20" t="s">
        <v>126</v>
      </c>
      <c r="B106" s="20" t="s">
        <v>260</v>
      </c>
      <c r="C106" s="20" t="s">
        <v>261</v>
      </c>
      <c r="D106" s="20" t="s">
        <v>814</v>
      </c>
    </row>
    <row r="107" customFormat="false" ht="15" hidden="false" customHeight="false" outlineLevel="0" collapsed="false">
      <c r="A107" s="20" t="s">
        <v>126</v>
      </c>
      <c r="B107" s="20" t="s">
        <v>85</v>
      </c>
      <c r="C107" s="20" t="s">
        <v>86</v>
      </c>
      <c r="D107" s="20" t="s">
        <v>814</v>
      </c>
    </row>
    <row r="108" customFormat="false" ht="15" hidden="false" customHeight="false" outlineLevel="0" collapsed="false">
      <c r="A108" s="20" t="s">
        <v>126</v>
      </c>
      <c r="B108" s="20" t="s">
        <v>269</v>
      </c>
      <c r="C108" s="20" t="s">
        <v>270</v>
      </c>
      <c r="D108" s="20" t="s">
        <v>814</v>
      </c>
    </row>
    <row r="109" customFormat="false" ht="15" hidden="false" customHeight="false" outlineLevel="0" collapsed="false">
      <c r="A109" s="20" t="s">
        <v>126</v>
      </c>
      <c r="B109" s="20" t="s">
        <v>836</v>
      </c>
      <c r="C109" s="20" t="s">
        <v>837</v>
      </c>
      <c r="D109" s="20" t="s">
        <v>818</v>
      </c>
    </row>
    <row r="110" customFormat="false" ht="15" hidden="false" customHeight="false" outlineLevel="0" collapsed="false">
      <c r="A110" s="20" t="s">
        <v>126</v>
      </c>
      <c r="B110" s="20" t="s">
        <v>816</v>
      </c>
      <c r="C110" s="20" t="s">
        <v>817</v>
      </c>
      <c r="D110" s="20" t="s">
        <v>818</v>
      </c>
    </row>
    <row r="111" customFormat="false" ht="15" hidden="false" customHeight="false" outlineLevel="0" collapsed="false">
      <c r="A111" s="20" t="s">
        <v>133</v>
      </c>
      <c r="B111" s="20" t="s">
        <v>67</v>
      </c>
      <c r="C111" s="20" t="s">
        <v>68</v>
      </c>
      <c r="D111" s="20" t="s">
        <v>814</v>
      </c>
    </row>
    <row r="112" customFormat="false" ht="15" hidden="false" customHeight="false" outlineLevel="0" collapsed="false">
      <c r="A112" s="20" t="s">
        <v>133</v>
      </c>
      <c r="B112" s="20" t="s">
        <v>183</v>
      </c>
      <c r="C112" s="20" t="s">
        <v>184</v>
      </c>
      <c r="D112" s="20" t="s">
        <v>814</v>
      </c>
    </row>
    <row r="113" customFormat="false" ht="15" hidden="false" customHeight="false" outlineLevel="0" collapsed="false">
      <c r="A113" s="20" t="s">
        <v>133</v>
      </c>
      <c r="B113" s="20" t="s">
        <v>117</v>
      </c>
      <c r="C113" s="20" t="s">
        <v>118</v>
      </c>
      <c r="D113" s="20" t="s">
        <v>814</v>
      </c>
    </row>
    <row r="114" customFormat="false" ht="15" hidden="false" customHeight="false" outlineLevel="0" collapsed="false">
      <c r="A114" s="20" t="s">
        <v>133</v>
      </c>
      <c r="B114" s="20" t="s">
        <v>140</v>
      </c>
      <c r="C114" s="20" t="s">
        <v>141</v>
      </c>
      <c r="D114" s="20" t="s">
        <v>814</v>
      </c>
    </row>
    <row r="115" customFormat="false" ht="15" hidden="false" customHeight="false" outlineLevel="0" collapsed="false">
      <c r="A115" s="20" t="s">
        <v>133</v>
      </c>
      <c r="B115" s="20" t="s">
        <v>843</v>
      </c>
      <c r="C115" s="20" t="s">
        <v>441</v>
      </c>
      <c r="D115" s="20" t="s">
        <v>814</v>
      </c>
    </row>
    <row r="116" customFormat="false" ht="15" hidden="false" customHeight="false" outlineLevel="0" collapsed="false">
      <c r="A116" s="20" t="s">
        <v>133</v>
      </c>
      <c r="B116" s="20" t="s">
        <v>844</v>
      </c>
      <c r="C116" s="20" t="s">
        <v>449</v>
      </c>
      <c r="D116" s="20" t="s">
        <v>814</v>
      </c>
    </row>
    <row r="117" customFormat="false" ht="15" hidden="false" customHeight="false" outlineLevel="0" collapsed="false">
      <c r="A117" s="20" t="s">
        <v>133</v>
      </c>
      <c r="B117" s="20" t="s">
        <v>845</v>
      </c>
      <c r="C117" s="20" t="s">
        <v>457</v>
      </c>
      <c r="D117" s="20" t="s">
        <v>814</v>
      </c>
    </row>
    <row r="118" customFormat="false" ht="15" hidden="false" customHeight="false" outlineLevel="0" collapsed="false">
      <c r="A118" s="20" t="s">
        <v>133</v>
      </c>
      <c r="B118" s="20" t="s">
        <v>846</v>
      </c>
      <c r="C118" s="20" t="s">
        <v>465</v>
      </c>
      <c r="D118" s="20" t="s">
        <v>814</v>
      </c>
    </row>
    <row r="119" customFormat="false" ht="15" hidden="false" customHeight="false" outlineLevel="0" collapsed="false">
      <c r="A119" s="20" t="s">
        <v>133</v>
      </c>
      <c r="B119" s="20" t="s">
        <v>847</v>
      </c>
      <c r="C119" s="20" t="s">
        <v>473</v>
      </c>
      <c r="D119" s="20" t="s">
        <v>814</v>
      </c>
    </row>
    <row r="120" customFormat="false" ht="15" hidden="false" customHeight="false" outlineLevel="0" collapsed="false">
      <c r="A120" s="20" t="s">
        <v>133</v>
      </c>
      <c r="B120" s="20" t="s">
        <v>252</v>
      </c>
      <c r="C120" s="20" t="s">
        <v>253</v>
      </c>
      <c r="D120" s="20" t="s">
        <v>814</v>
      </c>
    </row>
    <row r="121" customFormat="false" ht="15" hidden="false" customHeight="false" outlineLevel="0" collapsed="false">
      <c r="A121" s="20" t="s">
        <v>133</v>
      </c>
      <c r="B121" s="20" t="s">
        <v>260</v>
      </c>
      <c r="C121" s="20" t="s">
        <v>261</v>
      </c>
      <c r="D121" s="20" t="s">
        <v>814</v>
      </c>
    </row>
    <row r="122" customFormat="false" ht="15" hidden="false" customHeight="false" outlineLevel="0" collapsed="false">
      <c r="A122" s="20" t="s">
        <v>133</v>
      </c>
      <c r="B122" s="20" t="s">
        <v>85</v>
      </c>
      <c r="C122" s="20" t="s">
        <v>86</v>
      </c>
      <c r="D122" s="20" t="s">
        <v>814</v>
      </c>
    </row>
    <row r="123" customFormat="false" ht="15" hidden="false" customHeight="false" outlineLevel="0" collapsed="false">
      <c r="A123" s="20" t="s">
        <v>133</v>
      </c>
      <c r="B123" s="20" t="s">
        <v>269</v>
      </c>
      <c r="C123" s="20" t="s">
        <v>270</v>
      </c>
      <c r="D123" s="20" t="s">
        <v>814</v>
      </c>
    </row>
    <row r="124" customFormat="false" ht="15" hidden="false" customHeight="false" outlineLevel="0" collapsed="false">
      <c r="A124" s="20" t="s">
        <v>133</v>
      </c>
      <c r="B124" s="20" t="s">
        <v>848</v>
      </c>
      <c r="C124" s="20" t="s">
        <v>849</v>
      </c>
      <c r="D124" s="20" t="s">
        <v>818</v>
      </c>
    </row>
    <row r="125" customFormat="false" ht="15" hidden="false" customHeight="false" outlineLevel="0" collapsed="false">
      <c r="A125" s="20" t="s">
        <v>133</v>
      </c>
      <c r="B125" s="20" t="s">
        <v>816</v>
      </c>
      <c r="C125" s="20" t="s">
        <v>817</v>
      </c>
      <c r="D125" s="20" t="s">
        <v>818</v>
      </c>
    </row>
    <row r="126" customFormat="false" ht="15" hidden="false" customHeight="false" outlineLevel="0" collapsed="false">
      <c r="A126" s="20" t="s">
        <v>141</v>
      </c>
      <c r="B126" s="20" t="s">
        <v>67</v>
      </c>
      <c r="C126" s="20" t="s">
        <v>68</v>
      </c>
      <c r="D126" s="20" t="s">
        <v>814</v>
      </c>
    </row>
    <row r="127" customFormat="false" ht="15" hidden="false" customHeight="false" outlineLevel="0" collapsed="false">
      <c r="A127" s="20" t="s">
        <v>141</v>
      </c>
      <c r="B127" s="20" t="s">
        <v>148</v>
      </c>
      <c r="C127" s="20" t="s">
        <v>149</v>
      </c>
      <c r="D127" s="20" t="s">
        <v>814</v>
      </c>
    </row>
    <row r="128" customFormat="false" ht="15" hidden="false" customHeight="false" outlineLevel="0" collapsed="false">
      <c r="A128" s="20" t="s">
        <v>141</v>
      </c>
      <c r="B128" s="20" t="s">
        <v>155</v>
      </c>
      <c r="C128" s="20" t="s">
        <v>156</v>
      </c>
      <c r="D128" s="20" t="s">
        <v>814</v>
      </c>
    </row>
    <row r="129" customFormat="false" ht="15" hidden="false" customHeight="false" outlineLevel="0" collapsed="false">
      <c r="A129" s="20" t="s">
        <v>141</v>
      </c>
      <c r="B129" s="20" t="s">
        <v>162</v>
      </c>
      <c r="C129" s="20" t="s">
        <v>163</v>
      </c>
      <c r="D129" s="20" t="s">
        <v>814</v>
      </c>
    </row>
    <row r="130" customFormat="false" ht="15" hidden="false" customHeight="false" outlineLevel="0" collapsed="false">
      <c r="A130" s="20" t="s">
        <v>141</v>
      </c>
      <c r="B130" s="20" t="s">
        <v>850</v>
      </c>
      <c r="C130" s="20" t="s">
        <v>481</v>
      </c>
      <c r="D130" s="20" t="s">
        <v>814</v>
      </c>
    </row>
    <row r="131" customFormat="false" ht="15" hidden="false" customHeight="false" outlineLevel="0" collapsed="false">
      <c r="A131" s="20" t="s">
        <v>141</v>
      </c>
      <c r="B131" s="20" t="s">
        <v>851</v>
      </c>
      <c r="C131" s="20" t="s">
        <v>489</v>
      </c>
      <c r="D131" s="20" t="s">
        <v>814</v>
      </c>
    </row>
    <row r="132" customFormat="false" ht="15" hidden="false" customHeight="false" outlineLevel="0" collapsed="false">
      <c r="A132" s="20" t="s">
        <v>141</v>
      </c>
      <c r="B132" s="20" t="s">
        <v>852</v>
      </c>
      <c r="C132" s="20" t="s">
        <v>497</v>
      </c>
      <c r="D132" s="20" t="s">
        <v>814</v>
      </c>
    </row>
    <row r="133" customFormat="false" ht="15" hidden="false" customHeight="false" outlineLevel="0" collapsed="false">
      <c r="A133" s="20" t="s">
        <v>141</v>
      </c>
      <c r="B133" s="20" t="s">
        <v>853</v>
      </c>
      <c r="C133" s="20" t="s">
        <v>505</v>
      </c>
      <c r="D133" s="20" t="s">
        <v>814</v>
      </c>
    </row>
    <row r="134" customFormat="false" ht="15" hidden="false" customHeight="false" outlineLevel="0" collapsed="false">
      <c r="A134" s="20" t="s">
        <v>141</v>
      </c>
      <c r="B134" s="20" t="s">
        <v>854</v>
      </c>
      <c r="C134" s="20" t="s">
        <v>513</v>
      </c>
      <c r="D134" s="20" t="s">
        <v>814</v>
      </c>
    </row>
    <row r="135" customFormat="false" ht="15" hidden="false" customHeight="false" outlineLevel="0" collapsed="false">
      <c r="A135" s="20" t="s">
        <v>141</v>
      </c>
      <c r="B135" s="20" t="s">
        <v>252</v>
      </c>
      <c r="C135" s="20" t="s">
        <v>253</v>
      </c>
      <c r="D135" s="20" t="s">
        <v>814</v>
      </c>
    </row>
    <row r="136" customFormat="false" ht="15" hidden="false" customHeight="false" outlineLevel="0" collapsed="false">
      <c r="A136" s="20" t="s">
        <v>141</v>
      </c>
      <c r="B136" s="20" t="s">
        <v>260</v>
      </c>
      <c r="C136" s="20" t="s">
        <v>261</v>
      </c>
      <c r="D136" s="20" t="s">
        <v>814</v>
      </c>
    </row>
    <row r="137" customFormat="false" ht="15" hidden="false" customHeight="false" outlineLevel="0" collapsed="false">
      <c r="A137" s="20" t="s">
        <v>141</v>
      </c>
      <c r="B137" s="20" t="s">
        <v>85</v>
      </c>
      <c r="C137" s="20" t="s">
        <v>86</v>
      </c>
      <c r="D137" s="20" t="s">
        <v>814</v>
      </c>
    </row>
    <row r="138" customFormat="false" ht="15" hidden="false" customHeight="false" outlineLevel="0" collapsed="false">
      <c r="A138" s="20" t="s">
        <v>141</v>
      </c>
      <c r="B138" s="20" t="s">
        <v>269</v>
      </c>
      <c r="C138" s="20" t="s">
        <v>270</v>
      </c>
      <c r="D138" s="20" t="s">
        <v>814</v>
      </c>
    </row>
    <row r="139" customFormat="false" ht="15" hidden="false" customHeight="false" outlineLevel="0" collapsed="false">
      <c r="A139" s="20" t="s">
        <v>141</v>
      </c>
      <c r="B139" s="20" t="s">
        <v>855</v>
      </c>
      <c r="C139" s="20" t="s">
        <v>856</v>
      </c>
      <c r="D139" s="20" t="s">
        <v>818</v>
      </c>
    </row>
    <row r="140" customFormat="false" ht="15" hidden="false" customHeight="false" outlineLevel="0" collapsed="false">
      <c r="A140" s="20" t="s">
        <v>141</v>
      </c>
      <c r="B140" s="20" t="s">
        <v>816</v>
      </c>
      <c r="C140" s="20" t="s">
        <v>817</v>
      </c>
      <c r="D140" s="20" t="s">
        <v>818</v>
      </c>
    </row>
    <row r="141" customFormat="false" ht="15" hidden="false" customHeight="false" outlineLevel="0" collapsed="false">
      <c r="A141" s="20" t="s">
        <v>149</v>
      </c>
      <c r="B141" s="20" t="s">
        <v>67</v>
      </c>
      <c r="C141" s="20" t="s">
        <v>68</v>
      </c>
      <c r="D141" s="20" t="s">
        <v>814</v>
      </c>
    </row>
    <row r="142" customFormat="false" ht="15" hidden="false" customHeight="false" outlineLevel="0" collapsed="false">
      <c r="A142" s="20" t="s">
        <v>149</v>
      </c>
      <c r="B142" s="20" t="s">
        <v>140</v>
      </c>
      <c r="C142" s="20" t="s">
        <v>141</v>
      </c>
      <c r="D142" s="20" t="s">
        <v>814</v>
      </c>
    </row>
    <row r="143" customFormat="false" ht="15" hidden="false" customHeight="false" outlineLevel="0" collapsed="false">
      <c r="A143" s="20" t="s">
        <v>149</v>
      </c>
      <c r="B143" s="20" t="s">
        <v>155</v>
      </c>
      <c r="C143" s="20" t="s">
        <v>156</v>
      </c>
      <c r="D143" s="20" t="s">
        <v>814</v>
      </c>
    </row>
    <row r="144" customFormat="false" ht="15" hidden="false" customHeight="false" outlineLevel="0" collapsed="false">
      <c r="A144" s="20" t="s">
        <v>149</v>
      </c>
      <c r="B144" s="20" t="s">
        <v>162</v>
      </c>
      <c r="C144" s="20" t="s">
        <v>163</v>
      </c>
      <c r="D144" s="20" t="s">
        <v>814</v>
      </c>
    </row>
    <row r="145" customFormat="false" ht="15" hidden="false" customHeight="false" outlineLevel="0" collapsed="false">
      <c r="A145" s="20" t="s">
        <v>149</v>
      </c>
      <c r="B145" s="20" t="s">
        <v>857</v>
      </c>
      <c r="C145" s="20" t="s">
        <v>521</v>
      </c>
      <c r="D145" s="20" t="s">
        <v>814</v>
      </c>
    </row>
    <row r="146" customFormat="false" ht="15" hidden="false" customHeight="false" outlineLevel="0" collapsed="false">
      <c r="A146" s="20" t="s">
        <v>149</v>
      </c>
      <c r="B146" s="20" t="s">
        <v>858</v>
      </c>
      <c r="C146" s="20" t="s">
        <v>528</v>
      </c>
      <c r="D146" s="20" t="s">
        <v>814</v>
      </c>
    </row>
    <row r="147" customFormat="false" ht="15" hidden="false" customHeight="false" outlineLevel="0" collapsed="false">
      <c r="A147" s="20" t="s">
        <v>149</v>
      </c>
      <c r="B147" s="20" t="s">
        <v>859</v>
      </c>
      <c r="C147" s="20" t="s">
        <v>535</v>
      </c>
      <c r="D147" s="20" t="s">
        <v>814</v>
      </c>
    </row>
    <row r="148" customFormat="false" ht="15" hidden="false" customHeight="false" outlineLevel="0" collapsed="false">
      <c r="A148" s="20" t="s">
        <v>149</v>
      </c>
      <c r="B148" s="20" t="s">
        <v>860</v>
      </c>
      <c r="C148" s="20" t="s">
        <v>542</v>
      </c>
      <c r="D148" s="20" t="s">
        <v>814</v>
      </c>
    </row>
    <row r="149" customFormat="false" ht="15" hidden="false" customHeight="false" outlineLevel="0" collapsed="false">
      <c r="A149" s="20" t="s">
        <v>149</v>
      </c>
      <c r="B149" s="20" t="s">
        <v>861</v>
      </c>
      <c r="C149" s="20" t="s">
        <v>549</v>
      </c>
      <c r="D149" s="20" t="s">
        <v>814</v>
      </c>
    </row>
    <row r="150" customFormat="false" ht="15" hidden="false" customHeight="false" outlineLevel="0" collapsed="false">
      <c r="A150" s="20" t="s">
        <v>149</v>
      </c>
      <c r="B150" s="20" t="s">
        <v>252</v>
      </c>
      <c r="C150" s="20" t="s">
        <v>253</v>
      </c>
      <c r="D150" s="20" t="s">
        <v>814</v>
      </c>
    </row>
    <row r="151" customFormat="false" ht="15" hidden="false" customHeight="false" outlineLevel="0" collapsed="false">
      <c r="A151" s="20" t="s">
        <v>149</v>
      </c>
      <c r="B151" s="20" t="s">
        <v>260</v>
      </c>
      <c r="C151" s="20" t="s">
        <v>261</v>
      </c>
      <c r="D151" s="20" t="s">
        <v>814</v>
      </c>
    </row>
    <row r="152" customFormat="false" ht="15" hidden="false" customHeight="false" outlineLevel="0" collapsed="false">
      <c r="A152" s="20" t="s">
        <v>149</v>
      </c>
      <c r="B152" s="20" t="s">
        <v>85</v>
      </c>
      <c r="C152" s="20" t="s">
        <v>86</v>
      </c>
      <c r="D152" s="20" t="s">
        <v>814</v>
      </c>
    </row>
    <row r="153" customFormat="false" ht="15" hidden="false" customHeight="false" outlineLevel="0" collapsed="false">
      <c r="A153" s="20" t="s">
        <v>149</v>
      </c>
      <c r="B153" s="20" t="s">
        <v>269</v>
      </c>
      <c r="C153" s="20" t="s">
        <v>270</v>
      </c>
      <c r="D153" s="20" t="s">
        <v>814</v>
      </c>
    </row>
    <row r="154" customFormat="false" ht="15" hidden="false" customHeight="false" outlineLevel="0" collapsed="false">
      <c r="A154" s="20" t="s">
        <v>149</v>
      </c>
      <c r="B154" s="20" t="s">
        <v>855</v>
      </c>
      <c r="C154" s="20" t="s">
        <v>856</v>
      </c>
      <c r="D154" s="20" t="s">
        <v>818</v>
      </c>
    </row>
    <row r="155" customFormat="false" ht="15" hidden="false" customHeight="false" outlineLevel="0" collapsed="false">
      <c r="A155" s="20" t="s">
        <v>149</v>
      </c>
      <c r="B155" s="20" t="s">
        <v>816</v>
      </c>
      <c r="C155" s="20" t="s">
        <v>817</v>
      </c>
      <c r="D155" s="20" t="s">
        <v>818</v>
      </c>
    </row>
    <row r="156" customFormat="false" ht="15" hidden="false" customHeight="false" outlineLevel="0" collapsed="false">
      <c r="A156" s="20" t="s">
        <v>156</v>
      </c>
      <c r="B156" s="20" t="s">
        <v>67</v>
      </c>
      <c r="C156" s="20" t="s">
        <v>68</v>
      </c>
      <c r="D156" s="20" t="s">
        <v>814</v>
      </c>
    </row>
    <row r="157" customFormat="false" ht="15" hidden="false" customHeight="false" outlineLevel="0" collapsed="false">
      <c r="A157" s="20" t="s">
        <v>156</v>
      </c>
      <c r="B157" s="20" t="s">
        <v>148</v>
      </c>
      <c r="C157" s="20" t="s">
        <v>149</v>
      </c>
      <c r="D157" s="20" t="s">
        <v>814</v>
      </c>
    </row>
    <row r="158" customFormat="false" ht="15" hidden="false" customHeight="false" outlineLevel="0" collapsed="false">
      <c r="A158" s="20" t="s">
        <v>156</v>
      </c>
      <c r="B158" s="20" t="s">
        <v>140</v>
      </c>
      <c r="C158" s="20" t="s">
        <v>141</v>
      </c>
      <c r="D158" s="20" t="s">
        <v>814</v>
      </c>
    </row>
    <row r="159" customFormat="false" ht="15" hidden="false" customHeight="false" outlineLevel="0" collapsed="false">
      <c r="A159" s="20" t="s">
        <v>156</v>
      </c>
      <c r="B159" s="20" t="s">
        <v>162</v>
      </c>
      <c r="C159" s="20" t="s">
        <v>163</v>
      </c>
      <c r="D159" s="20" t="s">
        <v>814</v>
      </c>
    </row>
    <row r="160" customFormat="false" ht="15" hidden="false" customHeight="false" outlineLevel="0" collapsed="false">
      <c r="A160" s="20" t="s">
        <v>156</v>
      </c>
      <c r="B160" s="20" t="s">
        <v>862</v>
      </c>
      <c r="C160" s="20" t="s">
        <v>556</v>
      </c>
      <c r="D160" s="20" t="s">
        <v>814</v>
      </c>
    </row>
    <row r="161" customFormat="false" ht="15" hidden="false" customHeight="false" outlineLevel="0" collapsed="false">
      <c r="A161" s="20" t="s">
        <v>156</v>
      </c>
      <c r="B161" s="20" t="s">
        <v>863</v>
      </c>
      <c r="C161" s="20" t="s">
        <v>563</v>
      </c>
      <c r="D161" s="20" t="s">
        <v>814</v>
      </c>
    </row>
    <row r="162" customFormat="false" ht="15" hidden="false" customHeight="false" outlineLevel="0" collapsed="false">
      <c r="A162" s="20" t="s">
        <v>156</v>
      </c>
      <c r="B162" s="20" t="s">
        <v>864</v>
      </c>
      <c r="C162" s="20" t="s">
        <v>570</v>
      </c>
      <c r="D162" s="20" t="s">
        <v>814</v>
      </c>
    </row>
    <row r="163" customFormat="false" ht="15" hidden="false" customHeight="false" outlineLevel="0" collapsed="false">
      <c r="A163" s="20" t="s">
        <v>156</v>
      </c>
      <c r="B163" s="20" t="s">
        <v>865</v>
      </c>
      <c r="C163" s="20" t="s">
        <v>577</v>
      </c>
      <c r="D163" s="20" t="s">
        <v>814</v>
      </c>
    </row>
    <row r="164" customFormat="false" ht="15" hidden="false" customHeight="false" outlineLevel="0" collapsed="false">
      <c r="A164" s="20" t="s">
        <v>156</v>
      </c>
      <c r="B164" s="20" t="s">
        <v>866</v>
      </c>
      <c r="C164" s="20" t="s">
        <v>584</v>
      </c>
      <c r="D164" s="20" t="s">
        <v>814</v>
      </c>
    </row>
    <row r="165" customFormat="false" ht="15" hidden="false" customHeight="false" outlineLevel="0" collapsed="false">
      <c r="A165" s="20" t="s">
        <v>156</v>
      </c>
      <c r="B165" s="20" t="s">
        <v>252</v>
      </c>
      <c r="C165" s="20" t="s">
        <v>253</v>
      </c>
      <c r="D165" s="20" t="s">
        <v>814</v>
      </c>
    </row>
    <row r="166" customFormat="false" ht="15" hidden="false" customHeight="false" outlineLevel="0" collapsed="false">
      <c r="A166" s="20" t="s">
        <v>156</v>
      </c>
      <c r="B166" s="20" t="s">
        <v>260</v>
      </c>
      <c r="C166" s="20" t="s">
        <v>261</v>
      </c>
      <c r="D166" s="20" t="s">
        <v>814</v>
      </c>
    </row>
    <row r="167" customFormat="false" ht="15" hidden="false" customHeight="false" outlineLevel="0" collapsed="false">
      <c r="A167" s="20" t="s">
        <v>156</v>
      </c>
      <c r="B167" s="20" t="s">
        <v>85</v>
      </c>
      <c r="C167" s="20" t="s">
        <v>86</v>
      </c>
      <c r="D167" s="20" t="s">
        <v>814</v>
      </c>
    </row>
    <row r="168" customFormat="false" ht="15" hidden="false" customHeight="false" outlineLevel="0" collapsed="false">
      <c r="A168" s="20" t="s">
        <v>156</v>
      </c>
      <c r="B168" s="20" t="s">
        <v>269</v>
      </c>
      <c r="C168" s="20" t="s">
        <v>270</v>
      </c>
      <c r="D168" s="20" t="s">
        <v>814</v>
      </c>
    </row>
    <row r="169" customFormat="false" ht="15" hidden="false" customHeight="false" outlineLevel="0" collapsed="false">
      <c r="A169" s="20" t="s">
        <v>156</v>
      </c>
      <c r="B169" s="20" t="s">
        <v>855</v>
      </c>
      <c r="C169" s="20" t="s">
        <v>856</v>
      </c>
      <c r="D169" s="20" t="s">
        <v>818</v>
      </c>
    </row>
    <row r="170" customFormat="false" ht="15" hidden="false" customHeight="false" outlineLevel="0" collapsed="false">
      <c r="A170" s="20" t="s">
        <v>156</v>
      </c>
      <c r="B170" s="20" t="s">
        <v>816</v>
      </c>
      <c r="C170" s="20" t="s">
        <v>817</v>
      </c>
      <c r="D170" s="20" t="s">
        <v>818</v>
      </c>
    </row>
    <row r="171" customFormat="false" ht="15" hidden="false" customHeight="false" outlineLevel="0" collapsed="false">
      <c r="A171" s="20" t="s">
        <v>163</v>
      </c>
      <c r="B171" s="20" t="s">
        <v>67</v>
      </c>
      <c r="C171" s="20" t="s">
        <v>68</v>
      </c>
      <c r="D171" s="20" t="s">
        <v>814</v>
      </c>
    </row>
    <row r="172" customFormat="false" ht="15" hidden="false" customHeight="false" outlineLevel="0" collapsed="false">
      <c r="A172" s="20" t="s">
        <v>163</v>
      </c>
      <c r="B172" s="20" t="s">
        <v>140</v>
      </c>
      <c r="C172" s="20" t="s">
        <v>141</v>
      </c>
      <c r="D172" s="20" t="s">
        <v>814</v>
      </c>
    </row>
    <row r="173" customFormat="false" ht="15" hidden="false" customHeight="false" outlineLevel="0" collapsed="false">
      <c r="A173" s="20" t="s">
        <v>163</v>
      </c>
      <c r="B173" s="20" t="s">
        <v>155</v>
      </c>
      <c r="C173" s="20" t="s">
        <v>156</v>
      </c>
      <c r="D173" s="20" t="s">
        <v>814</v>
      </c>
    </row>
    <row r="174" customFormat="false" ht="15" hidden="false" customHeight="false" outlineLevel="0" collapsed="false">
      <c r="A174" s="20" t="s">
        <v>163</v>
      </c>
      <c r="B174" s="20" t="s">
        <v>148</v>
      </c>
      <c r="C174" s="20" t="s">
        <v>149</v>
      </c>
      <c r="D174" s="20" t="s">
        <v>814</v>
      </c>
    </row>
    <row r="175" customFormat="false" ht="15" hidden="false" customHeight="false" outlineLevel="0" collapsed="false">
      <c r="A175" s="20" t="s">
        <v>163</v>
      </c>
      <c r="B175" s="20" t="s">
        <v>867</v>
      </c>
      <c r="C175" s="20" t="s">
        <v>591</v>
      </c>
      <c r="D175" s="20" t="s">
        <v>814</v>
      </c>
    </row>
    <row r="176" customFormat="false" ht="15" hidden="false" customHeight="false" outlineLevel="0" collapsed="false">
      <c r="A176" s="20" t="s">
        <v>163</v>
      </c>
      <c r="B176" s="20" t="s">
        <v>868</v>
      </c>
      <c r="C176" s="20" t="s">
        <v>598</v>
      </c>
      <c r="D176" s="20" t="s">
        <v>814</v>
      </c>
    </row>
    <row r="177" customFormat="false" ht="15" hidden="false" customHeight="false" outlineLevel="0" collapsed="false">
      <c r="A177" s="20" t="s">
        <v>163</v>
      </c>
      <c r="B177" s="20" t="s">
        <v>869</v>
      </c>
      <c r="C177" s="20" t="s">
        <v>605</v>
      </c>
      <c r="D177" s="20" t="s">
        <v>814</v>
      </c>
    </row>
    <row r="178" customFormat="false" ht="15" hidden="false" customHeight="false" outlineLevel="0" collapsed="false">
      <c r="A178" s="20" t="s">
        <v>163</v>
      </c>
      <c r="B178" s="20" t="s">
        <v>870</v>
      </c>
      <c r="C178" s="20" t="s">
        <v>612</v>
      </c>
      <c r="D178" s="20" t="s">
        <v>814</v>
      </c>
    </row>
    <row r="179" customFormat="false" ht="15" hidden="false" customHeight="false" outlineLevel="0" collapsed="false">
      <c r="A179" s="20" t="s">
        <v>163</v>
      </c>
      <c r="B179" s="20" t="s">
        <v>871</v>
      </c>
      <c r="C179" s="20" t="s">
        <v>619</v>
      </c>
      <c r="D179" s="20" t="s">
        <v>814</v>
      </c>
    </row>
    <row r="180" customFormat="false" ht="15" hidden="false" customHeight="false" outlineLevel="0" collapsed="false">
      <c r="A180" s="20" t="s">
        <v>163</v>
      </c>
      <c r="B180" s="20" t="s">
        <v>252</v>
      </c>
      <c r="C180" s="20" t="s">
        <v>253</v>
      </c>
      <c r="D180" s="20" t="s">
        <v>814</v>
      </c>
    </row>
    <row r="181" customFormat="false" ht="15" hidden="false" customHeight="false" outlineLevel="0" collapsed="false">
      <c r="A181" s="20" t="s">
        <v>163</v>
      </c>
      <c r="B181" s="20" t="s">
        <v>260</v>
      </c>
      <c r="C181" s="20" t="s">
        <v>261</v>
      </c>
      <c r="D181" s="20" t="s">
        <v>814</v>
      </c>
    </row>
    <row r="182" customFormat="false" ht="15" hidden="false" customHeight="false" outlineLevel="0" collapsed="false">
      <c r="A182" s="20" t="s">
        <v>163</v>
      </c>
      <c r="B182" s="20" t="s">
        <v>85</v>
      </c>
      <c r="C182" s="20" t="s">
        <v>86</v>
      </c>
      <c r="D182" s="20" t="s">
        <v>814</v>
      </c>
    </row>
    <row r="183" customFormat="false" ht="15" hidden="false" customHeight="false" outlineLevel="0" collapsed="false">
      <c r="A183" s="20" t="s">
        <v>163</v>
      </c>
      <c r="B183" s="20" t="s">
        <v>269</v>
      </c>
      <c r="C183" s="20" t="s">
        <v>270</v>
      </c>
      <c r="D183" s="20" t="s">
        <v>814</v>
      </c>
    </row>
    <row r="184" customFormat="false" ht="15" hidden="false" customHeight="false" outlineLevel="0" collapsed="false">
      <c r="A184" s="20" t="s">
        <v>163</v>
      </c>
      <c r="B184" s="20" t="s">
        <v>855</v>
      </c>
      <c r="C184" s="20" t="s">
        <v>856</v>
      </c>
      <c r="D184" s="20" t="s">
        <v>818</v>
      </c>
    </row>
    <row r="185" customFormat="false" ht="15" hidden="false" customHeight="false" outlineLevel="0" collapsed="false">
      <c r="A185" s="20" t="s">
        <v>163</v>
      </c>
      <c r="B185" s="20" t="s">
        <v>816</v>
      </c>
      <c r="C185" s="20" t="s">
        <v>817</v>
      </c>
      <c r="D185" s="20" t="s">
        <v>818</v>
      </c>
    </row>
    <row r="186" customFormat="false" ht="15" hidden="false" customHeight="false" outlineLevel="0" collapsed="false">
      <c r="A186" s="20" t="s">
        <v>170</v>
      </c>
      <c r="B186" s="20" t="s">
        <v>67</v>
      </c>
      <c r="C186" s="20" t="s">
        <v>68</v>
      </c>
      <c r="D186" s="20" t="s">
        <v>814</v>
      </c>
    </row>
    <row r="187" customFormat="false" ht="15" hidden="false" customHeight="false" outlineLevel="0" collapsed="false">
      <c r="A187" s="20" t="s">
        <v>170</v>
      </c>
      <c r="B187" s="20" t="s">
        <v>101</v>
      </c>
      <c r="C187" s="20" t="s">
        <v>102</v>
      </c>
      <c r="D187" s="20" t="s">
        <v>814</v>
      </c>
    </row>
    <row r="188" customFormat="false" ht="15" hidden="false" customHeight="false" outlineLevel="0" collapsed="false">
      <c r="A188" s="20" t="s">
        <v>170</v>
      </c>
      <c r="B188" s="20" t="s">
        <v>110</v>
      </c>
      <c r="C188" s="20" t="s">
        <v>111</v>
      </c>
      <c r="D188" s="20" t="s">
        <v>814</v>
      </c>
    </row>
    <row r="189" customFormat="false" ht="15" hidden="false" customHeight="false" outlineLevel="0" collapsed="false">
      <c r="A189" s="20" t="s">
        <v>170</v>
      </c>
      <c r="B189" s="20" t="s">
        <v>190</v>
      </c>
      <c r="C189" s="20" t="s">
        <v>191</v>
      </c>
      <c r="D189" s="20" t="s">
        <v>814</v>
      </c>
    </row>
    <row r="190" customFormat="false" ht="15" hidden="false" customHeight="false" outlineLevel="0" collapsed="false">
      <c r="A190" s="20" t="s">
        <v>170</v>
      </c>
      <c r="B190" s="20" t="s">
        <v>872</v>
      </c>
      <c r="C190" s="20" t="s">
        <v>626</v>
      </c>
      <c r="D190" s="20" t="s">
        <v>814</v>
      </c>
    </row>
    <row r="191" customFormat="false" ht="15" hidden="false" customHeight="false" outlineLevel="0" collapsed="false">
      <c r="A191" s="20" t="s">
        <v>170</v>
      </c>
      <c r="B191" s="20" t="s">
        <v>873</v>
      </c>
      <c r="C191" s="20" t="s">
        <v>633</v>
      </c>
      <c r="D191" s="20" t="s">
        <v>814</v>
      </c>
    </row>
    <row r="192" customFormat="false" ht="15" hidden="false" customHeight="false" outlineLevel="0" collapsed="false">
      <c r="A192" s="20" t="s">
        <v>170</v>
      </c>
      <c r="B192" s="20" t="s">
        <v>874</v>
      </c>
      <c r="C192" s="20" t="s">
        <v>640</v>
      </c>
      <c r="D192" s="20" t="s">
        <v>814</v>
      </c>
    </row>
    <row r="193" customFormat="false" ht="15" hidden="false" customHeight="false" outlineLevel="0" collapsed="false">
      <c r="A193" s="20" t="s">
        <v>170</v>
      </c>
      <c r="B193" s="20" t="s">
        <v>875</v>
      </c>
      <c r="C193" s="20" t="s">
        <v>647</v>
      </c>
      <c r="D193" s="20" t="s">
        <v>814</v>
      </c>
    </row>
    <row r="194" customFormat="false" ht="15" hidden="false" customHeight="false" outlineLevel="0" collapsed="false">
      <c r="A194" s="20" t="s">
        <v>170</v>
      </c>
      <c r="B194" s="20" t="s">
        <v>876</v>
      </c>
      <c r="C194" s="20" t="s">
        <v>654</v>
      </c>
      <c r="D194" s="20" t="s">
        <v>814</v>
      </c>
    </row>
    <row r="195" customFormat="false" ht="15" hidden="false" customHeight="false" outlineLevel="0" collapsed="false">
      <c r="A195" s="20" t="s">
        <v>170</v>
      </c>
      <c r="B195" s="20" t="s">
        <v>252</v>
      </c>
      <c r="C195" s="20" t="s">
        <v>253</v>
      </c>
      <c r="D195" s="20" t="s">
        <v>814</v>
      </c>
    </row>
    <row r="196" customFormat="false" ht="15" hidden="false" customHeight="false" outlineLevel="0" collapsed="false">
      <c r="A196" s="20" t="s">
        <v>170</v>
      </c>
      <c r="B196" s="20" t="s">
        <v>260</v>
      </c>
      <c r="C196" s="20" t="s">
        <v>261</v>
      </c>
      <c r="D196" s="20" t="s">
        <v>814</v>
      </c>
    </row>
    <row r="197" customFormat="false" ht="15" hidden="false" customHeight="false" outlineLevel="0" collapsed="false">
      <c r="A197" s="20" t="s">
        <v>170</v>
      </c>
      <c r="B197" s="20" t="s">
        <v>85</v>
      </c>
      <c r="C197" s="20" t="s">
        <v>86</v>
      </c>
      <c r="D197" s="20" t="s">
        <v>814</v>
      </c>
    </row>
    <row r="198" customFormat="false" ht="15" hidden="false" customHeight="false" outlineLevel="0" collapsed="false">
      <c r="A198" s="20" t="s">
        <v>170</v>
      </c>
      <c r="B198" s="20" t="s">
        <v>269</v>
      </c>
      <c r="C198" s="20" t="s">
        <v>270</v>
      </c>
      <c r="D198" s="20" t="s">
        <v>814</v>
      </c>
    </row>
    <row r="199" customFormat="false" ht="15" hidden="false" customHeight="false" outlineLevel="0" collapsed="false">
      <c r="A199" s="20" t="s">
        <v>170</v>
      </c>
      <c r="B199" s="20" t="s">
        <v>824</v>
      </c>
      <c r="C199" s="20" t="s">
        <v>825</v>
      </c>
      <c r="D199" s="20" t="s">
        <v>818</v>
      </c>
    </row>
    <row r="200" customFormat="false" ht="15" hidden="false" customHeight="false" outlineLevel="0" collapsed="false">
      <c r="A200" s="20" t="s">
        <v>170</v>
      </c>
      <c r="B200" s="20" t="s">
        <v>816</v>
      </c>
      <c r="C200" s="20" t="s">
        <v>817</v>
      </c>
      <c r="D200" s="20" t="s">
        <v>818</v>
      </c>
    </row>
    <row r="201" customFormat="false" ht="15" hidden="false" customHeight="false" outlineLevel="0" collapsed="false">
      <c r="A201" s="20" t="s">
        <v>177</v>
      </c>
      <c r="B201" s="20" t="s">
        <v>67</v>
      </c>
      <c r="C201" s="20" t="s">
        <v>68</v>
      </c>
      <c r="D201" s="20" t="s">
        <v>814</v>
      </c>
    </row>
    <row r="202" customFormat="false" ht="15" hidden="false" customHeight="false" outlineLevel="0" collapsed="false">
      <c r="A202" s="20" t="s">
        <v>177</v>
      </c>
      <c r="B202" s="20" t="s">
        <v>101</v>
      </c>
      <c r="C202" s="20" t="s">
        <v>102</v>
      </c>
      <c r="D202" s="20" t="s">
        <v>814</v>
      </c>
    </row>
    <row r="203" customFormat="false" ht="15" hidden="false" customHeight="false" outlineLevel="0" collapsed="false">
      <c r="A203" s="20" t="s">
        <v>177</v>
      </c>
      <c r="B203" s="20" t="s">
        <v>169</v>
      </c>
      <c r="C203" s="20" t="s">
        <v>170</v>
      </c>
      <c r="D203" s="20" t="s">
        <v>814</v>
      </c>
    </row>
    <row r="204" customFormat="false" ht="15" hidden="false" customHeight="false" outlineLevel="0" collapsed="false">
      <c r="A204" s="20" t="s">
        <v>177</v>
      </c>
      <c r="B204" s="20" t="s">
        <v>198</v>
      </c>
      <c r="C204" s="20" t="s">
        <v>199</v>
      </c>
      <c r="D204" s="20" t="s">
        <v>814</v>
      </c>
    </row>
    <row r="205" customFormat="false" ht="15" hidden="false" customHeight="false" outlineLevel="0" collapsed="false">
      <c r="A205" s="20" t="s">
        <v>177</v>
      </c>
      <c r="B205" s="20" t="s">
        <v>877</v>
      </c>
      <c r="C205" s="20" t="s">
        <v>661</v>
      </c>
      <c r="D205" s="20" t="s">
        <v>814</v>
      </c>
    </row>
    <row r="206" customFormat="false" ht="15" hidden="false" customHeight="false" outlineLevel="0" collapsed="false">
      <c r="A206" s="20" t="s">
        <v>177</v>
      </c>
      <c r="B206" s="20" t="s">
        <v>878</v>
      </c>
      <c r="C206" s="20" t="s">
        <v>668</v>
      </c>
      <c r="D206" s="20" t="s">
        <v>814</v>
      </c>
    </row>
    <row r="207" customFormat="false" ht="15" hidden="false" customHeight="false" outlineLevel="0" collapsed="false">
      <c r="A207" s="20" t="s">
        <v>177</v>
      </c>
      <c r="B207" s="20" t="s">
        <v>879</v>
      </c>
      <c r="C207" s="20" t="s">
        <v>675</v>
      </c>
      <c r="D207" s="20" t="s">
        <v>814</v>
      </c>
    </row>
    <row r="208" customFormat="false" ht="15" hidden="false" customHeight="false" outlineLevel="0" collapsed="false">
      <c r="A208" s="20" t="s">
        <v>177</v>
      </c>
      <c r="B208" s="20" t="s">
        <v>880</v>
      </c>
      <c r="C208" s="20" t="s">
        <v>682</v>
      </c>
      <c r="D208" s="20" t="s">
        <v>814</v>
      </c>
    </row>
    <row r="209" customFormat="false" ht="15" hidden="false" customHeight="false" outlineLevel="0" collapsed="false">
      <c r="A209" s="20" t="s">
        <v>177</v>
      </c>
      <c r="B209" s="20" t="s">
        <v>881</v>
      </c>
      <c r="C209" s="20" t="s">
        <v>689</v>
      </c>
      <c r="D209" s="20" t="s">
        <v>814</v>
      </c>
    </row>
    <row r="210" customFormat="false" ht="15" hidden="false" customHeight="false" outlineLevel="0" collapsed="false">
      <c r="A210" s="20" t="s">
        <v>177</v>
      </c>
      <c r="B210" s="20" t="s">
        <v>252</v>
      </c>
      <c r="C210" s="20" t="s">
        <v>253</v>
      </c>
      <c r="D210" s="20" t="s">
        <v>814</v>
      </c>
    </row>
    <row r="211" customFormat="false" ht="15" hidden="false" customHeight="false" outlineLevel="0" collapsed="false">
      <c r="A211" s="20" t="s">
        <v>177</v>
      </c>
      <c r="B211" s="20" t="s">
        <v>260</v>
      </c>
      <c r="C211" s="20" t="s">
        <v>261</v>
      </c>
      <c r="D211" s="20" t="s">
        <v>814</v>
      </c>
    </row>
    <row r="212" customFormat="false" ht="15" hidden="false" customHeight="false" outlineLevel="0" collapsed="false">
      <c r="A212" s="20" t="s">
        <v>177</v>
      </c>
      <c r="B212" s="20" t="s">
        <v>85</v>
      </c>
      <c r="C212" s="20" t="s">
        <v>86</v>
      </c>
      <c r="D212" s="20" t="s">
        <v>814</v>
      </c>
    </row>
    <row r="213" customFormat="false" ht="15" hidden="false" customHeight="false" outlineLevel="0" collapsed="false">
      <c r="A213" s="20" t="s">
        <v>177</v>
      </c>
      <c r="B213" s="20" t="s">
        <v>269</v>
      </c>
      <c r="C213" s="20" t="s">
        <v>270</v>
      </c>
      <c r="D213" s="20" t="s">
        <v>814</v>
      </c>
    </row>
    <row r="214" customFormat="false" ht="15" hidden="false" customHeight="false" outlineLevel="0" collapsed="false">
      <c r="A214" s="20" t="s">
        <v>177</v>
      </c>
      <c r="B214" s="20" t="s">
        <v>824</v>
      </c>
      <c r="C214" s="20" t="s">
        <v>825</v>
      </c>
      <c r="D214" s="20" t="s">
        <v>818</v>
      </c>
    </row>
    <row r="215" customFormat="false" ht="15" hidden="false" customHeight="false" outlineLevel="0" collapsed="false">
      <c r="A215" s="20" t="s">
        <v>177</v>
      </c>
      <c r="B215" s="20" t="s">
        <v>816</v>
      </c>
      <c r="C215" s="20" t="s">
        <v>817</v>
      </c>
      <c r="D215" s="20" t="s">
        <v>818</v>
      </c>
    </row>
    <row r="216" customFormat="false" ht="15" hidden="false" customHeight="false" outlineLevel="0" collapsed="false">
      <c r="A216" s="20" t="s">
        <v>184</v>
      </c>
      <c r="B216" s="20" t="s">
        <v>67</v>
      </c>
      <c r="C216" s="20" t="s">
        <v>68</v>
      </c>
      <c r="D216" s="20" t="s">
        <v>814</v>
      </c>
    </row>
    <row r="217" customFormat="false" ht="15" hidden="false" customHeight="false" outlineLevel="0" collapsed="false">
      <c r="A217" s="20" t="s">
        <v>184</v>
      </c>
      <c r="B217" s="20" t="s">
        <v>132</v>
      </c>
      <c r="C217" s="20" t="s">
        <v>133</v>
      </c>
      <c r="D217" s="20" t="s">
        <v>814</v>
      </c>
    </row>
    <row r="218" customFormat="false" ht="15" hidden="false" customHeight="false" outlineLevel="0" collapsed="false">
      <c r="A218" s="20" t="s">
        <v>184</v>
      </c>
      <c r="B218" s="20" t="s">
        <v>117</v>
      </c>
      <c r="C218" s="20" t="s">
        <v>118</v>
      </c>
      <c r="D218" s="20" t="s">
        <v>814</v>
      </c>
    </row>
    <row r="219" customFormat="false" ht="15" hidden="false" customHeight="false" outlineLevel="0" collapsed="false">
      <c r="A219" s="20" t="s">
        <v>184</v>
      </c>
      <c r="B219" s="20" t="s">
        <v>101</v>
      </c>
      <c r="C219" s="20" t="s">
        <v>102</v>
      </c>
      <c r="D219" s="20" t="s">
        <v>814</v>
      </c>
    </row>
    <row r="220" customFormat="false" ht="15" hidden="false" customHeight="false" outlineLevel="0" collapsed="false">
      <c r="A220" s="20" t="s">
        <v>184</v>
      </c>
      <c r="B220" s="20" t="s">
        <v>882</v>
      </c>
      <c r="C220" s="20" t="s">
        <v>696</v>
      </c>
      <c r="D220" s="20" t="s">
        <v>814</v>
      </c>
    </row>
    <row r="221" customFormat="false" ht="15" hidden="false" customHeight="false" outlineLevel="0" collapsed="false">
      <c r="A221" s="20" t="s">
        <v>184</v>
      </c>
      <c r="B221" s="20" t="s">
        <v>883</v>
      </c>
      <c r="C221" s="20" t="s">
        <v>703</v>
      </c>
      <c r="D221" s="20" t="s">
        <v>814</v>
      </c>
    </row>
    <row r="222" customFormat="false" ht="15" hidden="false" customHeight="false" outlineLevel="0" collapsed="false">
      <c r="A222" s="20" t="s">
        <v>184</v>
      </c>
      <c r="B222" s="20" t="s">
        <v>884</v>
      </c>
      <c r="C222" s="20" t="s">
        <v>710</v>
      </c>
      <c r="D222" s="20" t="s">
        <v>814</v>
      </c>
    </row>
    <row r="223" customFormat="false" ht="15" hidden="false" customHeight="false" outlineLevel="0" collapsed="false">
      <c r="A223" s="20" t="s">
        <v>184</v>
      </c>
      <c r="B223" s="20" t="s">
        <v>885</v>
      </c>
      <c r="C223" s="20" t="s">
        <v>717</v>
      </c>
      <c r="D223" s="20" t="s">
        <v>814</v>
      </c>
    </row>
    <row r="224" customFormat="false" ht="15" hidden="false" customHeight="false" outlineLevel="0" collapsed="false">
      <c r="A224" s="20" t="s">
        <v>184</v>
      </c>
      <c r="B224" s="20" t="s">
        <v>886</v>
      </c>
      <c r="C224" s="20" t="s">
        <v>724</v>
      </c>
      <c r="D224" s="20" t="s">
        <v>814</v>
      </c>
    </row>
    <row r="225" customFormat="false" ht="15" hidden="false" customHeight="false" outlineLevel="0" collapsed="false">
      <c r="A225" s="20" t="s">
        <v>184</v>
      </c>
      <c r="B225" s="20" t="s">
        <v>252</v>
      </c>
      <c r="C225" s="20" t="s">
        <v>253</v>
      </c>
      <c r="D225" s="20" t="s">
        <v>814</v>
      </c>
    </row>
    <row r="226" customFormat="false" ht="15" hidden="false" customHeight="false" outlineLevel="0" collapsed="false">
      <c r="A226" s="20" t="s">
        <v>184</v>
      </c>
      <c r="B226" s="20" t="s">
        <v>260</v>
      </c>
      <c r="C226" s="20" t="s">
        <v>261</v>
      </c>
      <c r="D226" s="20" t="s">
        <v>814</v>
      </c>
    </row>
    <row r="227" customFormat="false" ht="15" hidden="false" customHeight="false" outlineLevel="0" collapsed="false">
      <c r="A227" s="20" t="s">
        <v>184</v>
      </c>
      <c r="B227" s="20" t="s">
        <v>85</v>
      </c>
      <c r="C227" s="20" t="s">
        <v>86</v>
      </c>
      <c r="D227" s="20" t="s">
        <v>814</v>
      </c>
    </row>
    <row r="228" customFormat="false" ht="15" hidden="false" customHeight="false" outlineLevel="0" collapsed="false">
      <c r="A228" s="20" t="s">
        <v>184</v>
      </c>
      <c r="B228" s="20" t="s">
        <v>269</v>
      </c>
      <c r="C228" s="20" t="s">
        <v>270</v>
      </c>
      <c r="D228" s="20" t="s">
        <v>814</v>
      </c>
    </row>
    <row r="229" customFormat="false" ht="15" hidden="false" customHeight="false" outlineLevel="0" collapsed="false">
      <c r="A229" s="20" t="s">
        <v>184</v>
      </c>
      <c r="B229" s="20" t="s">
        <v>848</v>
      </c>
      <c r="C229" s="20" t="s">
        <v>849</v>
      </c>
      <c r="D229" s="20" t="s">
        <v>818</v>
      </c>
    </row>
    <row r="230" customFormat="false" ht="15" hidden="false" customHeight="false" outlineLevel="0" collapsed="false">
      <c r="A230" s="20" t="s">
        <v>184</v>
      </c>
      <c r="B230" s="20" t="s">
        <v>816</v>
      </c>
      <c r="C230" s="20" t="s">
        <v>817</v>
      </c>
      <c r="D230" s="20" t="s">
        <v>818</v>
      </c>
    </row>
    <row r="231" customFormat="false" ht="15" hidden="false" customHeight="false" outlineLevel="0" collapsed="false">
      <c r="A231" s="20" t="s">
        <v>191</v>
      </c>
      <c r="B231" s="20" t="s">
        <v>67</v>
      </c>
      <c r="C231" s="20" t="s">
        <v>68</v>
      </c>
      <c r="D231" s="20" t="s">
        <v>814</v>
      </c>
    </row>
    <row r="232" customFormat="false" ht="15" hidden="false" customHeight="false" outlineLevel="0" collapsed="false">
      <c r="A232" s="20" t="s">
        <v>191</v>
      </c>
      <c r="B232" s="20" t="s">
        <v>169</v>
      </c>
      <c r="C232" s="20" t="s">
        <v>170</v>
      </c>
      <c r="D232" s="20" t="s">
        <v>814</v>
      </c>
    </row>
    <row r="233" customFormat="false" ht="15" hidden="false" customHeight="false" outlineLevel="0" collapsed="false">
      <c r="A233" s="20" t="s">
        <v>191</v>
      </c>
      <c r="B233" s="20" t="s">
        <v>110</v>
      </c>
      <c r="C233" s="20" t="s">
        <v>111</v>
      </c>
      <c r="D233" s="20" t="s">
        <v>814</v>
      </c>
    </row>
    <row r="234" customFormat="false" ht="15" hidden="false" customHeight="false" outlineLevel="0" collapsed="false">
      <c r="A234" s="20" t="s">
        <v>191</v>
      </c>
      <c r="B234" s="20" t="s">
        <v>101</v>
      </c>
      <c r="C234" s="20" t="s">
        <v>102</v>
      </c>
      <c r="D234" s="20" t="s">
        <v>814</v>
      </c>
    </row>
    <row r="235" customFormat="false" ht="15" hidden="false" customHeight="false" outlineLevel="0" collapsed="false">
      <c r="A235" s="20" t="s">
        <v>191</v>
      </c>
      <c r="B235" s="20" t="s">
        <v>887</v>
      </c>
      <c r="C235" s="20" t="s">
        <v>731</v>
      </c>
      <c r="D235" s="20" t="s">
        <v>814</v>
      </c>
    </row>
    <row r="236" customFormat="false" ht="15" hidden="false" customHeight="false" outlineLevel="0" collapsed="false">
      <c r="A236" s="20" t="s">
        <v>191</v>
      </c>
      <c r="B236" s="20" t="s">
        <v>888</v>
      </c>
      <c r="C236" s="20" t="s">
        <v>739</v>
      </c>
      <c r="D236" s="20" t="s">
        <v>814</v>
      </c>
    </row>
    <row r="237" customFormat="false" ht="15" hidden="false" customHeight="false" outlineLevel="0" collapsed="false">
      <c r="A237" s="20" t="s">
        <v>191</v>
      </c>
      <c r="B237" s="20" t="s">
        <v>889</v>
      </c>
      <c r="C237" s="20" t="s">
        <v>747</v>
      </c>
      <c r="D237" s="20" t="s">
        <v>814</v>
      </c>
    </row>
    <row r="238" customFormat="false" ht="15" hidden="false" customHeight="false" outlineLevel="0" collapsed="false">
      <c r="A238" s="20" t="s">
        <v>191</v>
      </c>
      <c r="B238" s="20" t="s">
        <v>890</v>
      </c>
      <c r="C238" s="20" t="s">
        <v>755</v>
      </c>
      <c r="D238" s="20" t="s">
        <v>814</v>
      </c>
    </row>
    <row r="239" customFormat="false" ht="15" hidden="false" customHeight="false" outlineLevel="0" collapsed="false">
      <c r="A239" s="20" t="s">
        <v>191</v>
      </c>
      <c r="B239" s="20" t="s">
        <v>891</v>
      </c>
      <c r="C239" s="20" t="s">
        <v>763</v>
      </c>
      <c r="D239" s="20" t="s">
        <v>814</v>
      </c>
    </row>
    <row r="240" customFormat="false" ht="15" hidden="false" customHeight="false" outlineLevel="0" collapsed="false">
      <c r="A240" s="20" t="s">
        <v>191</v>
      </c>
      <c r="B240" s="20" t="s">
        <v>252</v>
      </c>
      <c r="C240" s="20" t="s">
        <v>253</v>
      </c>
      <c r="D240" s="20" t="s">
        <v>814</v>
      </c>
    </row>
    <row r="241" customFormat="false" ht="15" hidden="false" customHeight="false" outlineLevel="0" collapsed="false">
      <c r="A241" s="20" t="s">
        <v>191</v>
      </c>
      <c r="B241" s="20" t="s">
        <v>260</v>
      </c>
      <c r="C241" s="20" t="s">
        <v>261</v>
      </c>
      <c r="D241" s="20" t="s">
        <v>814</v>
      </c>
    </row>
    <row r="242" customFormat="false" ht="15" hidden="false" customHeight="false" outlineLevel="0" collapsed="false">
      <c r="A242" s="20" t="s">
        <v>191</v>
      </c>
      <c r="B242" s="20" t="s">
        <v>85</v>
      </c>
      <c r="C242" s="20" t="s">
        <v>86</v>
      </c>
      <c r="D242" s="20" t="s">
        <v>814</v>
      </c>
    </row>
    <row r="243" customFormat="false" ht="15" hidden="false" customHeight="false" outlineLevel="0" collapsed="false">
      <c r="A243" s="20" t="s">
        <v>191</v>
      </c>
      <c r="B243" s="20" t="s">
        <v>269</v>
      </c>
      <c r="C243" s="20" t="s">
        <v>270</v>
      </c>
      <c r="D243" s="20" t="s">
        <v>814</v>
      </c>
    </row>
    <row r="244" customFormat="false" ht="15" hidden="false" customHeight="false" outlineLevel="0" collapsed="false">
      <c r="A244" s="20" t="s">
        <v>191</v>
      </c>
      <c r="B244" s="20" t="s">
        <v>892</v>
      </c>
      <c r="C244" s="20" t="s">
        <v>893</v>
      </c>
      <c r="D244" s="20" t="s">
        <v>818</v>
      </c>
    </row>
    <row r="245" customFormat="false" ht="15" hidden="false" customHeight="false" outlineLevel="0" collapsed="false">
      <c r="A245" s="20" t="s">
        <v>191</v>
      </c>
      <c r="B245" s="20" t="s">
        <v>816</v>
      </c>
      <c r="C245" s="20" t="s">
        <v>817</v>
      </c>
      <c r="D245" s="20" t="s">
        <v>818</v>
      </c>
    </row>
    <row r="246" customFormat="false" ht="15" hidden="false" customHeight="false" outlineLevel="0" collapsed="false">
      <c r="A246" s="20" t="s">
        <v>199</v>
      </c>
      <c r="B246" s="20" t="s">
        <v>67</v>
      </c>
      <c r="C246" s="20" t="s">
        <v>68</v>
      </c>
      <c r="D246" s="20" t="s">
        <v>814</v>
      </c>
    </row>
    <row r="247" customFormat="false" ht="15" hidden="false" customHeight="false" outlineLevel="0" collapsed="false">
      <c r="A247" s="20" t="s">
        <v>199</v>
      </c>
      <c r="B247" s="20" t="s">
        <v>176</v>
      </c>
      <c r="C247" s="20" t="s">
        <v>177</v>
      </c>
      <c r="D247" s="20" t="s">
        <v>814</v>
      </c>
    </row>
    <row r="248" customFormat="false" ht="15" hidden="false" customHeight="false" outlineLevel="0" collapsed="false">
      <c r="A248" s="20" t="s">
        <v>199</v>
      </c>
      <c r="B248" s="20" t="s">
        <v>155</v>
      </c>
      <c r="C248" s="20" t="s">
        <v>156</v>
      </c>
      <c r="D248" s="20" t="s">
        <v>814</v>
      </c>
    </row>
    <row r="249" customFormat="false" ht="15" hidden="false" customHeight="false" outlineLevel="0" collapsed="false">
      <c r="A249" s="20" t="s">
        <v>199</v>
      </c>
      <c r="B249" s="20" t="s">
        <v>101</v>
      </c>
      <c r="C249" s="20" t="s">
        <v>102</v>
      </c>
      <c r="D249" s="20" t="s">
        <v>814</v>
      </c>
    </row>
    <row r="250" customFormat="false" ht="15" hidden="false" customHeight="false" outlineLevel="0" collapsed="false">
      <c r="A250" s="20" t="s">
        <v>199</v>
      </c>
      <c r="B250" s="20" t="s">
        <v>894</v>
      </c>
      <c r="C250" s="20" t="s">
        <v>771</v>
      </c>
      <c r="D250" s="20" t="s">
        <v>814</v>
      </c>
    </row>
    <row r="251" customFormat="false" ht="15" hidden="false" customHeight="false" outlineLevel="0" collapsed="false">
      <c r="A251" s="20" t="s">
        <v>199</v>
      </c>
      <c r="B251" s="20" t="s">
        <v>895</v>
      </c>
      <c r="C251" s="20" t="s">
        <v>779</v>
      </c>
      <c r="D251" s="20" t="s">
        <v>814</v>
      </c>
    </row>
    <row r="252" customFormat="false" ht="15" hidden="false" customHeight="false" outlineLevel="0" collapsed="false">
      <c r="A252" s="20" t="s">
        <v>199</v>
      </c>
      <c r="B252" s="20" t="s">
        <v>896</v>
      </c>
      <c r="C252" s="20" t="s">
        <v>787</v>
      </c>
      <c r="D252" s="20" t="s">
        <v>814</v>
      </c>
    </row>
    <row r="253" customFormat="false" ht="15" hidden="false" customHeight="false" outlineLevel="0" collapsed="false">
      <c r="A253" s="20" t="s">
        <v>199</v>
      </c>
      <c r="B253" s="20" t="s">
        <v>897</v>
      </c>
      <c r="C253" s="20" t="s">
        <v>795</v>
      </c>
      <c r="D253" s="20" t="s">
        <v>814</v>
      </c>
    </row>
    <row r="254" customFormat="false" ht="15" hidden="false" customHeight="false" outlineLevel="0" collapsed="false">
      <c r="A254" s="20" t="s">
        <v>199</v>
      </c>
      <c r="B254" s="20" t="s">
        <v>898</v>
      </c>
      <c r="C254" s="20" t="s">
        <v>803</v>
      </c>
      <c r="D254" s="20" t="s">
        <v>814</v>
      </c>
    </row>
    <row r="255" customFormat="false" ht="15" hidden="false" customHeight="false" outlineLevel="0" collapsed="false">
      <c r="A255" s="20" t="s">
        <v>199</v>
      </c>
      <c r="B255" s="20" t="s">
        <v>252</v>
      </c>
      <c r="C255" s="20" t="s">
        <v>253</v>
      </c>
      <c r="D255" s="20" t="s">
        <v>814</v>
      </c>
    </row>
    <row r="256" customFormat="false" ht="15" hidden="false" customHeight="false" outlineLevel="0" collapsed="false">
      <c r="A256" s="20" t="s">
        <v>199</v>
      </c>
      <c r="B256" s="20" t="s">
        <v>260</v>
      </c>
      <c r="C256" s="20" t="s">
        <v>261</v>
      </c>
      <c r="D256" s="20" t="s">
        <v>814</v>
      </c>
    </row>
    <row r="257" customFormat="false" ht="15" hidden="false" customHeight="false" outlineLevel="0" collapsed="false">
      <c r="A257" s="20" t="s">
        <v>199</v>
      </c>
      <c r="B257" s="20" t="s">
        <v>85</v>
      </c>
      <c r="C257" s="20" t="s">
        <v>86</v>
      </c>
      <c r="D257" s="20" t="s">
        <v>814</v>
      </c>
    </row>
    <row r="258" customFormat="false" ht="15" hidden="false" customHeight="false" outlineLevel="0" collapsed="false">
      <c r="A258" s="20" t="s">
        <v>199</v>
      </c>
      <c r="B258" s="20" t="s">
        <v>269</v>
      </c>
      <c r="C258" s="20" t="s">
        <v>270</v>
      </c>
      <c r="D258" s="20" t="s">
        <v>814</v>
      </c>
    </row>
    <row r="259" customFormat="false" ht="15" hidden="false" customHeight="false" outlineLevel="0" collapsed="false">
      <c r="A259" s="20" t="s">
        <v>199</v>
      </c>
      <c r="B259" s="20" t="s">
        <v>899</v>
      </c>
      <c r="C259" s="20" t="s">
        <v>900</v>
      </c>
      <c r="D259" s="20" t="s">
        <v>818</v>
      </c>
    </row>
    <row r="260" customFormat="false" ht="15" hidden="false" customHeight="false" outlineLevel="0" collapsed="false">
      <c r="A260" s="20" t="s">
        <v>199</v>
      </c>
      <c r="B260" s="20" t="s">
        <v>816</v>
      </c>
      <c r="C260" s="20" t="s">
        <v>817</v>
      </c>
      <c r="D260" s="20" t="s">
        <v>818</v>
      </c>
    </row>
    <row r="261" customFormat="false" ht="15" hidden="false" customHeight="false" outlineLevel="0" collapsed="false">
      <c r="A261" s="20" t="s">
        <v>208</v>
      </c>
      <c r="B261" s="20" t="s">
        <v>901</v>
      </c>
      <c r="C261" s="20" t="s">
        <v>286</v>
      </c>
      <c r="D261" s="20" t="s">
        <v>814</v>
      </c>
    </row>
    <row r="262" customFormat="false" ht="15" hidden="false" customHeight="false" outlineLevel="0" collapsed="false">
      <c r="A262" s="20" t="s">
        <v>208</v>
      </c>
      <c r="B262" s="20" t="s">
        <v>902</v>
      </c>
      <c r="C262" s="20" t="s">
        <v>331</v>
      </c>
      <c r="D262" s="20" t="s">
        <v>814</v>
      </c>
    </row>
    <row r="263" customFormat="false" ht="15" hidden="false" customHeight="false" outlineLevel="0" collapsed="false">
      <c r="A263" s="20" t="s">
        <v>208</v>
      </c>
      <c r="B263" s="20" t="s">
        <v>903</v>
      </c>
      <c r="C263" s="20" t="s">
        <v>366</v>
      </c>
      <c r="D263" s="20" t="s">
        <v>814</v>
      </c>
    </row>
    <row r="264" customFormat="false" ht="15" hidden="false" customHeight="false" outlineLevel="0" collapsed="false">
      <c r="A264" s="20" t="s">
        <v>208</v>
      </c>
      <c r="B264" s="20" t="s">
        <v>904</v>
      </c>
      <c r="C264" s="20" t="s">
        <v>406</v>
      </c>
      <c r="D264" s="20" t="s">
        <v>814</v>
      </c>
    </row>
    <row r="265" customFormat="false" ht="15" hidden="false" customHeight="false" outlineLevel="0" collapsed="false">
      <c r="A265" s="20" t="s">
        <v>208</v>
      </c>
      <c r="B265" s="20" t="s">
        <v>905</v>
      </c>
      <c r="C265" s="20" t="s">
        <v>441</v>
      </c>
      <c r="D265" s="20" t="s">
        <v>814</v>
      </c>
    </row>
    <row r="266" customFormat="false" ht="15" hidden="false" customHeight="false" outlineLevel="0" collapsed="false">
      <c r="A266" s="20" t="s">
        <v>208</v>
      </c>
      <c r="B266" s="20" t="s">
        <v>906</v>
      </c>
      <c r="C266" s="20" t="s">
        <v>481</v>
      </c>
      <c r="D266" s="20" t="s">
        <v>814</v>
      </c>
    </row>
    <row r="267" customFormat="false" ht="15" hidden="false" customHeight="false" outlineLevel="0" collapsed="false">
      <c r="A267" s="20" t="s">
        <v>208</v>
      </c>
      <c r="B267" s="20" t="s">
        <v>907</v>
      </c>
      <c r="C267" s="20" t="s">
        <v>521</v>
      </c>
      <c r="D267" s="20" t="s">
        <v>814</v>
      </c>
    </row>
    <row r="268" customFormat="false" ht="15" hidden="false" customHeight="false" outlineLevel="0" collapsed="false">
      <c r="A268" s="20" t="s">
        <v>208</v>
      </c>
      <c r="B268" s="20" t="s">
        <v>908</v>
      </c>
      <c r="C268" s="20" t="s">
        <v>556</v>
      </c>
      <c r="D268" s="20" t="s">
        <v>814</v>
      </c>
    </row>
    <row r="269" customFormat="false" ht="15" hidden="false" customHeight="false" outlineLevel="0" collapsed="false">
      <c r="A269" s="20" t="s">
        <v>208</v>
      </c>
      <c r="B269" s="20" t="s">
        <v>909</v>
      </c>
      <c r="C269" s="20" t="s">
        <v>591</v>
      </c>
      <c r="D269" s="20" t="s">
        <v>814</v>
      </c>
    </row>
    <row r="270" customFormat="false" ht="15" hidden="false" customHeight="false" outlineLevel="0" collapsed="false">
      <c r="A270" s="20" t="s">
        <v>208</v>
      </c>
      <c r="B270" s="20" t="s">
        <v>910</v>
      </c>
      <c r="C270" s="20" t="s">
        <v>626</v>
      </c>
      <c r="D270" s="20" t="s">
        <v>814</v>
      </c>
    </row>
    <row r="271" customFormat="false" ht="15" hidden="false" customHeight="false" outlineLevel="0" collapsed="false">
      <c r="A271" s="20" t="s">
        <v>208</v>
      </c>
      <c r="B271" s="20" t="s">
        <v>911</v>
      </c>
      <c r="C271" s="20" t="s">
        <v>661</v>
      </c>
      <c r="D271" s="20" t="s">
        <v>814</v>
      </c>
    </row>
    <row r="272" customFormat="false" ht="15" hidden="false" customHeight="false" outlineLevel="0" collapsed="false">
      <c r="A272" s="20" t="s">
        <v>208</v>
      </c>
      <c r="B272" s="20" t="s">
        <v>912</v>
      </c>
      <c r="C272" s="20" t="s">
        <v>696</v>
      </c>
      <c r="D272" s="20" t="s">
        <v>814</v>
      </c>
    </row>
    <row r="273" customFormat="false" ht="15" hidden="false" customHeight="false" outlineLevel="0" collapsed="false">
      <c r="A273" s="20" t="s">
        <v>208</v>
      </c>
      <c r="B273" s="20" t="s">
        <v>913</v>
      </c>
      <c r="C273" s="20" t="s">
        <v>731</v>
      </c>
      <c r="D273" s="20" t="s">
        <v>814</v>
      </c>
    </row>
    <row r="274" customFormat="false" ht="15" hidden="false" customHeight="false" outlineLevel="0" collapsed="false">
      <c r="A274" s="20" t="s">
        <v>208</v>
      </c>
      <c r="B274" s="20" t="s">
        <v>914</v>
      </c>
      <c r="C274" s="20" t="s">
        <v>771</v>
      </c>
      <c r="D274" s="20" t="s">
        <v>814</v>
      </c>
    </row>
    <row r="275" customFormat="false" ht="15" hidden="false" customHeight="false" outlineLevel="0" collapsed="false">
      <c r="A275" s="20" t="s">
        <v>208</v>
      </c>
      <c r="B275" s="20" t="s">
        <v>217</v>
      </c>
      <c r="C275" s="20" t="s">
        <v>218</v>
      </c>
      <c r="D275" s="20" t="s">
        <v>814</v>
      </c>
    </row>
    <row r="276" customFormat="false" ht="15" hidden="false" customHeight="false" outlineLevel="0" collapsed="false">
      <c r="A276" s="20" t="s">
        <v>208</v>
      </c>
      <c r="B276" s="20" t="s">
        <v>260</v>
      </c>
      <c r="C276" s="20" t="s">
        <v>261</v>
      </c>
      <c r="D276" s="20" t="s">
        <v>814</v>
      </c>
    </row>
    <row r="277" customFormat="false" ht="15" hidden="false" customHeight="false" outlineLevel="0" collapsed="false">
      <c r="A277" s="20" t="s">
        <v>208</v>
      </c>
      <c r="B277" s="20" t="s">
        <v>67</v>
      </c>
      <c r="C277" s="20" t="s">
        <v>68</v>
      </c>
      <c r="D277" s="20" t="s">
        <v>814</v>
      </c>
    </row>
    <row r="278" customFormat="false" ht="15" hidden="false" customHeight="false" outlineLevel="0" collapsed="false">
      <c r="A278" s="20" t="s">
        <v>208</v>
      </c>
      <c r="B278" s="20" t="s">
        <v>85</v>
      </c>
      <c r="C278" s="20" t="s">
        <v>86</v>
      </c>
      <c r="D278" s="20" t="s">
        <v>814</v>
      </c>
    </row>
    <row r="279" customFormat="false" ht="15" hidden="false" customHeight="false" outlineLevel="0" collapsed="false">
      <c r="A279" s="20" t="s">
        <v>208</v>
      </c>
      <c r="B279" s="20" t="s">
        <v>915</v>
      </c>
      <c r="C279" s="20" t="s">
        <v>916</v>
      </c>
      <c r="D279" s="20" t="s">
        <v>818</v>
      </c>
    </row>
    <row r="280" customFormat="false" ht="15" hidden="false" customHeight="false" outlineLevel="0" collapsed="false">
      <c r="A280" s="20" t="s">
        <v>208</v>
      </c>
      <c r="B280" s="20" t="s">
        <v>816</v>
      </c>
      <c r="C280" s="20" t="s">
        <v>817</v>
      </c>
      <c r="D280" s="20" t="s">
        <v>818</v>
      </c>
    </row>
    <row r="281" customFormat="false" ht="15" hidden="false" customHeight="false" outlineLevel="0" collapsed="false">
      <c r="A281" s="20" t="s">
        <v>218</v>
      </c>
      <c r="B281" s="20" t="s">
        <v>917</v>
      </c>
      <c r="C281" s="20" t="s">
        <v>295</v>
      </c>
      <c r="D281" s="20" t="s">
        <v>814</v>
      </c>
    </row>
    <row r="282" customFormat="false" ht="15" hidden="false" customHeight="false" outlineLevel="0" collapsed="false">
      <c r="A282" s="20" t="s">
        <v>218</v>
      </c>
      <c r="B282" s="20" t="s">
        <v>918</v>
      </c>
      <c r="C282" s="20" t="s">
        <v>338</v>
      </c>
      <c r="D282" s="20" t="s">
        <v>814</v>
      </c>
    </row>
    <row r="283" customFormat="false" ht="15" hidden="false" customHeight="false" outlineLevel="0" collapsed="false">
      <c r="A283" s="20" t="s">
        <v>218</v>
      </c>
      <c r="B283" s="20" t="s">
        <v>919</v>
      </c>
      <c r="C283" s="20" t="s">
        <v>374</v>
      </c>
      <c r="D283" s="20" t="s">
        <v>814</v>
      </c>
    </row>
    <row r="284" customFormat="false" ht="15" hidden="false" customHeight="false" outlineLevel="0" collapsed="false">
      <c r="A284" s="20" t="s">
        <v>218</v>
      </c>
      <c r="B284" s="20" t="s">
        <v>920</v>
      </c>
      <c r="C284" s="20" t="s">
        <v>413</v>
      </c>
      <c r="D284" s="20" t="s">
        <v>814</v>
      </c>
    </row>
    <row r="285" customFormat="false" ht="15" hidden="false" customHeight="false" outlineLevel="0" collapsed="false">
      <c r="A285" s="20" t="s">
        <v>218</v>
      </c>
      <c r="B285" s="20" t="s">
        <v>921</v>
      </c>
      <c r="C285" s="20" t="s">
        <v>449</v>
      </c>
      <c r="D285" s="20" t="s">
        <v>814</v>
      </c>
    </row>
    <row r="286" customFormat="false" ht="15" hidden="false" customHeight="false" outlineLevel="0" collapsed="false">
      <c r="A286" s="20" t="s">
        <v>218</v>
      </c>
      <c r="B286" s="20" t="s">
        <v>922</v>
      </c>
      <c r="C286" s="20" t="s">
        <v>489</v>
      </c>
      <c r="D286" s="20" t="s">
        <v>814</v>
      </c>
    </row>
    <row r="287" customFormat="false" ht="15" hidden="false" customHeight="false" outlineLevel="0" collapsed="false">
      <c r="A287" s="20" t="s">
        <v>218</v>
      </c>
      <c r="B287" s="20" t="s">
        <v>923</v>
      </c>
      <c r="C287" s="20" t="s">
        <v>528</v>
      </c>
      <c r="D287" s="20" t="s">
        <v>814</v>
      </c>
    </row>
    <row r="288" customFormat="false" ht="15" hidden="false" customHeight="false" outlineLevel="0" collapsed="false">
      <c r="A288" s="20" t="s">
        <v>218</v>
      </c>
      <c r="B288" s="20" t="s">
        <v>924</v>
      </c>
      <c r="C288" s="20" t="s">
        <v>563</v>
      </c>
      <c r="D288" s="20" t="s">
        <v>814</v>
      </c>
    </row>
    <row r="289" customFormat="false" ht="15" hidden="false" customHeight="false" outlineLevel="0" collapsed="false">
      <c r="A289" s="20" t="s">
        <v>218</v>
      </c>
      <c r="B289" s="20" t="s">
        <v>925</v>
      </c>
      <c r="C289" s="20" t="s">
        <v>598</v>
      </c>
      <c r="D289" s="20" t="s">
        <v>814</v>
      </c>
    </row>
    <row r="290" customFormat="false" ht="15" hidden="false" customHeight="false" outlineLevel="0" collapsed="false">
      <c r="A290" s="20" t="s">
        <v>218</v>
      </c>
      <c r="B290" s="20" t="s">
        <v>926</v>
      </c>
      <c r="C290" s="20" t="s">
        <v>633</v>
      </c>
      <c r="D290" s="20" t="s">
        <v>814</v>
      </c>
    </row>
    <row r="291" customFormat="false" ht="15" hidden="false" customHeight="false" outlineLevel="0" collapsed="false">
      <c r="A291" s="20" t="s">
        <v>218</v>
      </c>
      <c r="B291" s="20" t="s">
        <v>927</v>
      </c>
      <c r="C291" s="20" t="s">
        <v>668</v>
      </c>
      <c r="D291" s="20" t="s">
        <v>814</v>
      </c>
    </row>
    <row r="292" customFormat="false" ht="15" hidden="false" customHeight="false" outlineLevel="0" collapsed="false">
      <c r="A292" s="20" t="s">
        <v>218</v>
      </c>
      <c r="B292" s="20" t="s">
        <v>928</v>
      </c>
      <c r="C292" s="20" t="s">
        <v>703</v>
      </c>
      <c r="D292" s="20" t="s">
        <v>814</v>
      </c>
    </row>
    <row r="293" customFormat="false" ht="15" hidden="false" customHeight="false" outlineLevel="0" collapsed="false">
      <c r="A293" s="20" t="s">
        <v>218</v>
      </c>
      <c r="B293" s="20" t="s">
        <v>929</v>
      </c>
      <c r="C293" s="20" t="s">
        <v>739</v>
      </c>
      <c r="D293" s="20" t="s">
        <v>814</v>
      </c>
    </row>
    <row r="294" customFormat="false" ht="15" hidden="false" customHeight="false" outlineLevel="0" collapsed="false">
      <c r="A294" s="20" t="s">
        <v>218</v>
      </c>
      <c r="B294" s="20" t="s">
        <v>930</v>
      </c>
      <c r="C294" s="20" t="s">
        <v>779</v>
      </c>
      <c r="D294" s="20" t="s">
        <v>814</v>
      </c>
    </row>
    <row r="295" customFormat="false" ht="15" hidden="false" customHeight="false" outlineLevel="0" collapsed="false">
      <c r="A295" s="20" t="s">
        <v>218</v>
      </c>
      <c r="B295" s="20" t="s">
        <v>207</v>
      </c>
      <c r="C295" s="20" t="s">
        <v>208</v>
      </c>
      <c r="D295" s="20" t="s">
        <v>814</v>
      </c>
    </row>
    <row r="296" customFormat="false" ht="15" hidden="false" customHeight="false" outlineLevel="0" collapsed="false">
      <c r="A296" s="20" t="s">
        <v>218</v>
      </c>
      <c r="B296" s="20" t="s">
        <v>226</v>
      </c>
      <c r="C296" s="20" t="s">
        <v>227</v>
      </c>
      <c r="D296" s="20" t="s">
        <v>814</v>
      </c>
    </row>
    <row r="297" customFormat="false" ht="15" hidden="false" customHeight="false" outlineLevel="0" collapsed="false">
      <c r="A297" s="20" t="s">
        <v>218</v>
      </c>
      <c r="B297" s="20" t="s">
        <v>260</v>
      </c>
      <c r="C297" s="20" t="s">
        <v>261</v>
      </c>
      <c r="D297" s="20" t="s">
        <v>814</v>
      </c>
    </row>
    <row r="298" customFormat="false" ht="15" hidden="false" customHeight="false" outlineLevel="0" collapsed="false">
      <c r="A298" s="20" t="s">
        <v>218</v>
      </c>
      <c r="B298" s="20" t="s">
        <v>67</v>
      </c>
      <c r="C298" s="20" t="s">
        <v>68</v>
      </c>
      <c r="D298" s="20" t="s">
        <v>814</v>
      </c>
    </row>
    <row r="299" customFormat="false" ht="15" hidden="false" customHeight="false" outlineLevel="0" collapsed="false">
      <c r="A299" s="20" t="s">
        <v>218</v>
      </c>
      <c r="B299" s="20" t="s">
        <v>85</v>
      </c>
      <c r="C299" s="20" t="s">
        <v>86</v>
      </c>
      <c r="D299" s="20" t="s">
        <v>814</v>
      </c>
    </row>
    <row r="300" customFormat="false" ht="15" hidden="false" customHeight="false" outlineLevel="0" collapsed="false">
      <c r="A300" s="20" t="s">
        <v>218</v>
      </c>
      <c r="B300" s="20" t="s">
        <v>931</v>
      </c>
      <c r="C300" s="20" t="s">
        <v>932</v>
      </c>
      <c r="D300" s="20" t="s">
        <v>818</v>
      </c>
    </row>
    <row r="301" customFormat="false" ht="15" hidden="false" customHeight="false" outlineLevel="0" collapsed="false">
      <c r="A301" s="20" t="s">
        <v>218</v>
      </c>
      <c r="B301" s="20" t="s">
        <v>816</v>
      </c>
      <c r="C301" s="20" t="s">
        <v>817</v>
      </c>
      <c r="D301" s="20" t="s">
        <v>818</v>
      </c>
    </row>
    <row r="302" customFormat="false" ht="15" hidden="false" customHeight="false" outlineLevel="0" collapsed="false">
      <c r="A302" s="20" t="s">
        <v>227</v>
      </c>
      <c r="B302" s="20" t="s">
        <v>933</v>
      </c>
      <c r="C302" s="20" t="s">
        <v>304</v>
      </c>
      <c r="D302" s="20" t="s">
        <v>814</v>
      </c>
    </row>
    <row r="303" customFormat="false" ht="15" hidden="false" customHeight="false" outlineLevel="0" collapsed="false">
      <c r="A303" s="20" t="s">
        <v>227</v>
      </c>
      <c r="B303" s="20" t="s">
        <v>934</v>
      </c>
      <c r="C303" s="20" t="s">
        <v>345</v>
      </c>
      <c r="D303" s="20" t="s">
        <v>814</v>
      </c>
    </row>
    <row r="304" customFormat="false" ht="15" hidden="false" customHeight="false" outlineLevel="0" collapsed="false">
      <c r="A304" s="20" t="s">
        <v>227</v>
      </c>
      <c r="B304" s="20" t="s">
        <v>935</v>
      </c>
      <c r="C304" s="20" t="s">
        <v>382</v>
      </c>
      <c r="D304" s="20" t="s">
        <v>814</v>
      </c>
    </row>
    <row r="305" customFormat="false" ht="15" hidden="false" customHeight="false" outlineLevel="0" collapsed="false">
      <c r="A305" s="20" t="s">
        <v>227</v>
      </c>
      <c r="B305" s="20" t="s">
        <v>936</v>
      </c>
      <c r="C305" s="20" t="s">
        <v>420</v>
      </c>
      <c r="D305" s="20" t="s">
        <v>814</v>
      </c>
    </row>
    <row r="306" customFormat="false" ht="15" hidden="false" customHeight="false" outlineLevel="0" collapsed="false">
      <c r="A306" s="20" t="s">
        <v>227</v>
      </c>
      <c r="B306" s="20" t="s">
        <v>937</v>
      </c>
      <c r="C306" s="20" t="s">
        <v>457</v>
      </c>
      <c r="D306" s="20" t="s">
        <v>814</v>
      </c>
    </row>
    <row r="307" customFormat="false" ht="15" hidden="false" customHeight="false" outlineLevel="0" collapsed="false">
      <c r="A307" s="20" t="s">
        <v>227</v>
      </c>
      <c r="B307" s="20" t="s">
        <v>938</v>
      </c>
      <c r="C307" s="20" t="s">
        <v>497</v>
      </c>
      <c r="D307" s="20" t="s">
        <v>814</v>
      </c>
    </row>
    <row r="308" customFormat="false" ht="15" hidden="false" customHeight="false" outlineLevel="0" collapsed="false">
      <c r="A308" s="20" t="s">
        <v>227</v>
      </c>
      <c r="B308" s="20" t="s">
        <v>939</v>
      </c>
      <c r="C308" s="20" t="s">
        <v>535</v>
      </c>
      <c r="D308" s="20" t="s">
        <v>814</v>
      </c>
    </row>
    <row r="309" customFormat="false" ht="15" hidden="false" customHeight="false" outlineLevel="0" collapsed="false">
      <c r="A309" s="20" t="s">
        <v>227</v>
      </c>
      <c r="B309" s="20" t="s">
        <v>940</v>
      </c>
      <c r="C309" s="20" t="s">
        <v>570</v>
      </c>
      <c r="D309" s="20" t="s">
        <v>814</v>
      </c>
    </row>
    <row r="310" customFormat="false" ht="15" hidden="false" customHeight="false" outlineLevel="0" collapsed="false">
      <c r="A310" s="20" t="s">
        <v>227</v>
      </c>
      <c r="B310" s="20" t="s">
        <v>941</v>
      </c>
      <c r="C310" s="20" t="s">
        <v>605</v>
      </c>
      <c r="D310" s="20" t="s">
        <v>814</v>
      </c>
    </row>
    <row r="311" customFormat="false" ht="15" hidden="false" customHeight="false" outlineLevel="0" collapsed="false">
      <c r="A311" s="20" t="s">
        <v>227</v>
      </c>
      <c r="B311" s="20" t="s">
        <v>942</v>
      </c>
      <c r="C311" s="20" t="s">
        <v>640</v>
      </c>
      <c r="D311" s="20" t="s">
        <v>814</v>
      </c>
    </row>
    <row r="312" customFormat="false" ht="15" hidden="false" customHeight="false" outlineLevel="0" collapsed="false">
      <c r="A312" s="20" t="s">
        <v>227</v>
      </c>
      <c r="B312" s="20" t="s">
        <v>943</v>
      </c>
      <c r="C312" s="20" t="s">
        <v>675</v>
      </c>
      <c r="D312" s="20" t="s">
        <v>814</v>
      </c>
    </row>
    <row r="313" customFormat="false" ht="15" hidden="false" customHeight="false" outlineLevel="0" collapsed="false">
      <c r="A313" s="20" t="s">
        <v>227</v>
      </c>
      <c r="B313" s="20" t="s">
        <v>944</v>
      </c>
      <c r="C313" s="20" t="s">
        <v>710</v>
      </c>
      <c r="D313" s="20" t="s">
        <v>814</v>
      </c>
    </row>
    <row r="314" customFormat="false" ht="15" hidden="false" customHeight="false" outlineLevel="0" collapsed="false">
      <c r="A314" s="20" t="s">
        <v>227</v>
      </c>
      <c r="B314" s="20" t="s">
        <v>945</v>
      </c>
      <c r="C314" s="20" t="s">
        <v>747</v>
      </c>
      <c r="D314" s="20" t="s">
        <v>814</v>
      </c>
    </row>
    <row r="315" customFormat="false" ht="15" hidden="false" customHeight="false" outlineLevel="0" collapsed="false">
      <c r="A315" s="20" t="s">
        <v>227</v>
      </c>
      <c r="B315" s="20" t="s">
        <v>946</v>
      </c>
      <c r="C315" s="20" t="s">
        <v>787</v>
      </c>
      <c r="D315" s="20" t="s">
        <v>814</v>
      </c>
    </row>
    <row r="316" customFormat="false" ht="15" hidden="false" customHeight="false" outlineLevel="0" collapsed="false">
      <c r="A316" s="20" t="s">
        <v>227</v>
      </c>
      <c r="B316" s="20" t="s">
        <v>235</v>
      </c>
      <c r="C316" s="20" t="s">
        <v>236</v>
      </c>
      <c r="D316" s="20" t="s">
        <v>814</v>
      </c>
    </row>
    <row r="317" customFormat="false" ht="15" hidden="false" customHeight="false" outlineLevel="0" collapsed="false">
      <c r="A317" s="20" t="s">
        <v>227</v>
      </c>
      <c r="B317" s="20" t="s">
        <v>244</v>
      </c>
      <c r="C317" s="20" t="s">
        <v>245</v>
      </c>
      <c r="D317" s="20" t="s">
        <v>814</v>
      </c>
    </row>
    <row r="318" customFormat="false" ht="15" hidden="false" customHeight="false" outlineLevel="0" collapsed="false">
      <c r="A318" s="20" t="s">
        <v>227</v>
      </c>
      <c r="B318" s="20" t="s">
        <v>217</v>
      </c>
      <c r="C318" s="20" t="s">
        <v>218</v>
      </c>
      <c r="D318" s="20" t="s">
        <v>814</v>
      </c>
    </row>
    <row r="319" customFormat="false" ht="15" hidden="false" customHeight="false" outlineLevel="0" collapsed="false">
      <c r="A319" s="20" t="s">
        <v>227</v>
      </c>
      <c r="B319" s="20" t="s">
        <v>260</v>
      </c>
      <c r="C319" s="20" t="s">
        <v>261</v>
      </c>
      <c r="D319" s="20" t="s">
        <v>814</v>
      </c>
    </row>
    <row r="320" customFormat="false" ht="15" hidden="false" customHeight="false" outlineLevel="0" collapsed="false">
      <c r="A320" s="20" t="s">
        <v>227</v>
      </c>
      <c r="B320" s="20" t="s">
        <v>67</v>
      </c>
      <c r="C320" s="20" t="s">
        <v>68</v>
      </c>
      <c r="D320" s="20" t="s">
        <v>814</v>
      </c>
    </row>
    <row r="321" customFormat="false" ht="15" hidden="false" customHeight="false" outlineLevel="0" collapsed="false">
      <c r="A321" s="20" t="s">
        <v>227</v>
      </c>
      <c r="B321" s="20" t="s">
        <v>85</v>
      </c>
      <c r="C321" s="20" t="s">
        <v>86</v>
      </c>
      <c r="D321" s="20" t="s">
        <v>814</v>
      </c>
    </row>
    <row r="322" customFormat="false" ht="15" hidden="false" customHeight="false" outlineLevel="0" collapsed="false">
      <c r="A322" s="20" t="s">
        <v>227</v>
      </c>
      <c r="B322" s="20" t="s">
        <v>947</v>
      </c>
      <c r="C322" s="20" t="s">
        <v>948</v>
      </c>
      <c r="D322" s="20" t="s">
        <v>818</v>
      </c>
    </row>
    <row r="323" customFormat="false" ht="15" hidden="false" customHeight="false" outlineLevel="0" collapsed="false">
      <c r="A323" s="20" t="s">
        <v>227</v>
      </c>
      <c r="B323" s="20" t="s">
        <v>816</v>
      </c>
      <c r="C323" s="20" t="s">
        <v>817</v>
      </c>
      <c r="D323" s="20" t="s">
        <v>818</v>
      </c>
    </row>
    <row r="324" customFormat="false" ht="15" hidden="false" customHeight="false" outlineLevel="0" collapsed="false">
      <c r="A324" s="20" t="s">
        <v>236</v>
      </c>
      <c r="B324" s="20" t="s">
        <v>949</v>
      </c>
      <c r="C324" s="20" t="s">
        <v>313</v>
      </c>
      <c r="D324" s="20" t="s">
        <v>814</v>
      </c>
    </row>
    <row r="325" customFormat="false" ht="15" hidden="false" customHeight="false" outlineLevel="0" collapsed="false">
      <c r="A325" s="20" t="s">
        <v>236</v>
      </c>
      <c r="B325" s="20" t="s">
        <v>950</v>
      </c>
      <c r="C325" s="20" t="s">
        <v>352</v>
      </c>
      <c r="D325" s="20" t="s">
        <v>814</v>
      </c>
    </row>
    <row r="326" customFormat="false" ht="15" hidden="false" customHeight="false" outlineLevel="0" collapsed="false">
      <c r="A326" s="20" t="s">
        <v>236</v>
      </c>
      <c r="B326" s="20" t="s">
        <v>951</v>
      </c>
      <c r="C326" s="20" t="s">
        <v>390</v>
      </c>
      <c r="D326" s="20" t="s">
        <v>814</v>
      </c>
    </row>
    <row r="327" customFormat="false" ht="15" hidden="false" customHeight="false" outlineLevel="0" collapsed="false">
      <c r="A327" s="20" t="s">
        <v>236</v>
      </c>
      <c r="B327" s="20" t="s">
        <v>952</v>
      </c>
      <c r="C327" s="20" t="s">
        <v>427</v>
      </c>
      <c r="D327" s="20" t="s">
        <v>814</v>
      </c>
    </row>
    <row r="328" customFormat="false" ht="15" hidden="false" customHeight="false" outlineLevel="0" collapsed="false">
      <c r="A328" s="20" t="s">
        <v>236</v>
      </c>
      <c r="B328" s="20" t="s">
        <v>953</v>
      </c>
      <c r="C328" s="20" t="s">
        <v>465</v>
      </c>
      <c r="D328" s="20" t="s">
        <v>814</v>
      </c>
    </row>
    <row r="329" customFormat="false" ht="15" hidden="false" customHeight="false" outlineLevel="0" collapsed="false">
      <c r="A329" s="20" t="s">
        <v>236</v>
      </c>
      <c r="B329" s="20" t="s">
        <v>954</v>
      </c>
      <c r="C329" s="20" t="s">
        <v>505</v>
      </c>
      <c r="D329" s="20" t="s">
        <v>814</v>
      </c>
    </row>
    <row r="330" customFormat="false" ht="15" hidden="false" customHeight="false" outlineLevel="0" collapsed="false">
      <c r="A330" s="20" t="s">
        <v>236</v>
      </c>
      <c r="B330" s="20" t="s">
        <v>955</v>
      </c>
      <c r="C330" s="20" t="s">
        <v>542</v>
      </c>
      <c r="D330" s="20" t="s">
        <v>814</v>
      </c>
    </row>
    <row r="331" customFormat="false" ht="15" hidden="false" customHeight="false" outlineLevel="0" collapsed="false">
      <c r="A331" s="20" t="s">
        <v>236</v>
      </c>
      <c r="B331" s="20" t="s">
        <v>956</v>
      </c>
      <c r="C331" s="20" t="s">
        <v>577</v>
      </c>
      <c r="D331" s="20" t="s">
        <v>814</v>
      </c>
    </row>
    <row r="332" customFormat="false" ht="15" hidden="false" customHeight="false" outlineLevel="0" collapsed="false">
      <c r="A332" s="20" t="s">
        <v>236</v>
      </c>
      <c r="B332" s="20" t="s">
        <v>957</v>
      </c>
      <c r="C332" s="20" t="s">
        <v>612</v>
      </c>
      <c r="D332" s="20" t="s">
        <v>814</v>
      </c>
    </row>
    <row r="333" customFormat="false" ht="15" hidden="false" customHeight="false" outlineLevel="0" collapsed="false">
      <c r="A333" s="20" t="s">
        <v>236</v>
      </c>
      <c r="B333" s="20" t="s">
        <v>958</v>
      </c>
      <c r="C333" s="20" t="s">
        <v>647</v>
      </c>
      <c r="D333" s="20" t="s">
        <v>814</v>
      </c>
    </row>
    <row r="334" customFormat="false" ht="15" hidden="false" customHeight="false" outlineLevel="0" collapsed="false">
      <c r="A334" s="20" t="s">
        <v>236</v>
      </c>
      <c r="B334" s="20" t="s">
        <v>959</v>
      </c>
      <c r="C334" s="20" t="s">
        <v>682</v>
      </c>
      <c r="D334" s="20" t="s">
        <v>814</v>
      </c>
    </row>
    <row r="335" customFormat="false" ht="15" hidden="false" customHeight="false" outlineLevel="0" collapsed="false">
      <c r="A335" s="20" t="s">
        <v>236</v>
      </c>
      <c r="B335" s="20" t="s">
        <v>960</v>
      </c>
      <c r="C335" s="20" t="s">
        <v>717</v>
      </c>
      <c r="D335" s="20" t="s">
        <v>814</v>
      </c>
    </row>
    <row r="336" customFormat="false" ht="15" hidden="false" customHeight="false" outlineLevel="0" collapsed="false">
      <c r="A336" s="20" t="s">
        <v>236</v>
      </c>
      <c r="B336" s="20" t="s">
        <v>961</v>
      </c>
      <c r="C336" s="20" t="s">
        <v>755</v>
      </c>
      <c r="D336" s="20" t="s">
        <v>814</v>
      </c>
    </row>
    <row r="337" customFormat="false" ht="15" hidden="false" customHeight="false" outlineLevel="0" collapsed="false">
      <c r="A337" s="20" t="s">
        <v>236</v>
      </c>
      <c r="B337" s="20" t="s">
        <v>962</v>
      </c>
      <c r="C337" s="20" t="s">
        <v>795</v>
      </c>
      <c r="D337" s="20" t="s">
        <v>814</v>
      </c>
    </row>
    <row r="338" customFormat="false" ht="15" hidden="false" customHeight="false" outlineLevel="0" collapsed="false">
      <c r="A338" s="20" t="s">
        <v>236</v>
      </c>
      <c r="B338" s="20" t="s">
        <v>226</v>
      </c>
      <c r="C338" s="20" t="s">
        <v>227</v>
      </c>
      <c r="D338" s="20" t="s">
        <v>814</v>
      </c>
    </row>
    <row r="339" customFormat="false" ht="15" hidden="false" customHeight="false" outlineLevel="0" collapsed="false">
      <c r="A339" s="20" t="s">
        <v>236</v>
      </c>
      <c r="B339" s="20" t="s">
        <v>260</v>
      </c>
      <c r="C339" s="20" t="s">
        <v>261</v>
      </c>
      <c r="D339" s="20" t="s">
        <v>814</v>
      </c>
    </row>
    <row r="340" customFormat="false" ht="15" hidden="false" customHeight="false" outlineLevel="0" collapsed="false">
      <c r="A340" s="20" t="s">
        <v>236</v>
      </c>
      <c r="B340" s="20" t="s">
        <v>67</v>
      </c>
      <c r="C340" s="20" t="s">
        <v>68</v>
      </c>
      <c r="D340" s="20" t="s">
        <v>814</v>
      </c>
    </row>
    <row r="341" customFormat="false" ht="15" hidden="false" customHeight="false" outlineLevel="0" collapsed="false">
      <c r="A341" s="20" t="s">
        <v>236</v>
      </c>
      <c r="B341" s="20" t="s">
        <v>85</v>
      </c>
      <c r="C341" s="20" t="s">
        <v>86</v>
      </c>
      <c r="D341" s="20" t="s">
        <v>814</v>
      </c>
    </row>
    <row r="342" customFormat="false" ht="15" hidden="false" customHeight="false" outlineLevel="0" collapsed="false">
      <c r="A342" s="20" t="s">
        <v>236</v>
      </c>
      <c r="B342" s="20" t="s">
        <v>963</v>
      </c>
      <c r="C342" s="20" t="s">
        <v>964</v>
      </c>
      <c r="D342" s="20" t="s">
        <v>818</v>
      </c>
    </row>
    <row r="343" customFormat="false" ht="15" hidden="false" customHeight="false" outlineLevel="0" collapsed="false">
      <c r="A343" s="20" t="s">
        <v>236</v>
      </c>
      <c r="B343" s="20" t="s">
        <v>816</v>
      </c>
      <c r="C343" s="20" t="s">
        <v>817</v>
      </c>
      <c r="D343" s="20" t="s">
        <v>818</v>
      </c>
    </row>
    <row r="344" customFormat="false" ht="15" hidden="false" customHeight="false" outlineLevel="0" collapsed="false">
      <c r="A344" s="20" t="s">
        <v>245</v>
      </c>
      <c r="B344" s="20" t="s">
        <v>965</v>
      </c>
      <c r="C344" s="20" t="s">
        <v>322</v>
      </c>
      <c r="D344" s="20" t="s">
        <v>814</v>
      </c>
    </row>
    <row r="345" customFormat="false" ht="15" hidden="false" customHeight="false" outlineLevel="0" collapsed="false">
      <c r="A345" s="20" t="s">
        <v>245</v>
      </c>
      <c r="B345" s="20" t="s">
        <v>966</v>
      </c>
      <c r="C345" s="20" t="s">
        <v>359</v>
      </c>
      <c r="D345" s="20" t="s">
        <v>814</v>
      </c>
    </row>
    <row r="346" customFormat="false" ht="15" hidden="false" customHeight="false" outlineLevel="0" collapsed="false">
      <c r="A346" s="20" t="s">
        <v>245</v>
      </c>
      <c r="B346" s="20" t="s">
        <v>967</v>
      </c>
      <c r="C346" s="20" t="s">
        <v>398</v>
      </c>
      <c r="D346" s="20" t="s">
        <v>814</v>
      </c>
    </row>
    <row r="347" customFormat="false" ht="15" hidden="false" customHeight="false" outlineLevel="0" collapsed="false">
      <c r="A347" s="20" t="s">
        <v>245</v>
      </c>
      <c r="B347" s="20" t="s">
        <v>968</v>
      </c>
      <c r="C347" s="20" t="s">
        <v>434</v>
      </c>
      <c r="D347" s="20" t="s">
        <v>814</v>
      </c>
    </row>
    <row r="348" customFormat="false" ht="15" hidden="false" customHeight="false" outlineLevel="0" collapsed="false">
      <c r="A348" s="20" t="s">
        <v>245</v>
      </c>
      <c r="B348" s="20" t="s">
        <v>969</v>
      </c>
      <c r="C348" s="20" t="s">
        <v>473</v>
      </c>
      <c r="D348" s="20" t="s">
        <v>814</v>
      </c>
    </row>
    <row r="349" customFormat="false" ht="15" hidden="false" customHeight="false" outlineLevel="0" collapsed="false">
      <c r="A349" s="20" t="s">
        <v>245</v>
      </c>
      <c r="B349" s="20" t="s">
        <v>970</v>
      </c>
      <c r="C349" s="20" t="s">
        <v>513</v>
      </c>
      <c r="D349" s="20" t="s">
        <v>814</v>
      </c>
    </row>
    <row r="350" customFormat="false" ht="15" hidden="false" customHeight="false" outlineLevel="0" collapsed="false">
      <c r="A350" s="20" t="s">
        <v>245</v>
      </c>
      <c r="B350" s="20" t="s">
        <v>971</v>
      </c>
      <c r="C350" s="20" t="s">
        <v>549</v>
      </c>
      <c r="D350" s="20" t="s">
        <v>814</v>
      </c>
    </row>
    <row r="351" customFormat="false" ht="15" hidden="false" customHeight="false" outlineLevel="0" collapsed="false">
      <c r="A351" s="20" t="s">
        <v>245</v>
      </c>
      <c r="B351" s="20" t="s">
        <v>972</v>
      </c>
      <c r="C351" s="20" t="s">
        <v>584</v>
      </c>
      <c r="D351" s="20" t="s">
        <v>814</v>
      </c>
    </row>
    <row r="352" customFormat="false" ht="15" hidden="false" customHeight="false" outlineLevel="0" collapsed="false">
      <c r="A352" s="20" t="s">
        <v>245</v>
      </c>
      <c r="B352" s="20" t="s">
        <v>973</v>
      </c>
      <c r="C352" s="20" t="s">
        <v>619</v>
      </c>
      <c r="D352" s="20" t="s">
        <v>814</v>
      </c>
    </row>
    <row r="353" customFormat="false" ht="15" hidden="false" customHeight="false" outlineLevel="0" collapsed="false">
      <c r="A353" s="20" t="s">
        <v>245</v>
      </c>
      <c r="B353" s="20" t="s">
        <v>974</v>
      </c>
      <c r="C353" s="20" t="s">
        <v>654</v>
      </c>
      <c r="D353" s="20" t="s">
        <v>814</v>
      </c>
    </row>
    <row r="354" customFormat="false" ht="15" hidden="false" customHeight="false" outlineLevel="0" collapsed="false">
      <c r="A354" s="20" t="s">
        <v>245</v>
      </c>
      <c r="B354" s="20" t="s">
        <v>975</v>
      </c>
      <c r="C354" s="20" t="s">
        <v>689</v>
      </c>
      <c r="D354" s="20" t="s">
        <v>814</v>
      </c>
    </row>
    <row r="355" customFormat="false" ht="15" hidden="false" customHeight="false" outlineLevel="0" collapsed="false">
      <c r="A355" s="20" t="s">
        <v>245</v>
      </c>
      <c r="B355" s="20" t="s">
        <v>976</v>
      </c>
      <c r="C355" s="20" t="s">
        <v>724</v>
      </c>
      <c r="D355" s="20" t="s">
        <v>814</v>
      </c>
    </row>
    <row r="356" customFormat="false" ht="15" hidden="false" customHeight="false" outlineLevel="0" collapsed="false">
      <c r="A356" s="20" t="s">
        <v>245</v>
      </c>
      <c r="B356" s="20" t="s">
        <v>977</v>
      </c>
      <c r="C356" s="20" t="s">
        <v>763</v>
      </c>
      <c r="D356" s="20" t="s">
        <v>814</v>
      </c>
    </row>
    <row r="357" customFormat="false" ht="15" hidden="false" customHeight="false" outlineLevel="0" collapsed="false">
      <c r="A357" s="20" t="s">
        <v>245</v>
      </c>
      <c r="B357" s="20" t="s">
        <v>978</v>
      </c>
      <c r="C357" s="20" t="s">
        <v>803</v>
      </c>
      <c r="D357" s="20" t="s">
        <v>814</v>
      </c>
    </row>
    <row r="358" customFormat="false" ht="15" hidden="false" customHeight="false" outlineLevel="0" collapsed="false">
      <c r="A358" s="20" t="s">
        <v>245</v>
      </c>
      <c r="B358" s="20" t="s">
        <v>226</v>
      </c>
      <c r="C358" s="20" t="s">
        <v>227</v>
      </c>
      <c r="D358" s="20" t="s">
        <v>814</v>
      </c>
    </row>
    <row r="359" customFormat="false" ht="15" hidden="false" customHeight="false" outlineLevel="0" collapsed="false">
      <c r="A359" s="20" t="s">
        <v>245</v>
      </c>
      <c r="B359" s="20" t="s">
        <v>260</v>
      </c>
      <c r="C359" s="20" t="s">
        <v>261</v>
      </c>
      <c r="D359" s="20" t="s">
        <v>814</v>
      </c>
    </row>
    <row r="360" customFormat="false" ht="15" hidden="false" customHeight="false" outlineLevel="0" collapsed="false">
      <c r="A360" s="20" t="s">
        <v>245</v>
      </c>
      <c r="B360" s="20" t="s">
        <v>67</v>
      </c>
      <c r="C360" s="20" t="s">
        <v>68</v>
      </c>
      <c r="D360" s="20" t="s">
        <v>814</v>
      </c>
    </row>
    <row r="361" customFormat="false" ht="15" hidden="false" customHeight="false" outlineLevel="0" collapsed="false">
      <c r="A361" s="20" t="s">
        <v>245</v>
      </c>
      <c r="B361" s="20" t="s">
        <v>85</v>
      </c>
      <c r="C361" s="20" t="s">
        <v>86</v>
      </c>
      <c r="D361" s="20" t="s">
        <v>814</v>
      </c>
    </row>
    <row r="362" customFormat="false" ht="15" hidden="false" customHeight="false" outlineLevel="0" collapsed="false">
      <c r="A362" s="20" t="s">
        <v>245</v>
      </c>
      <c r="B362" s="20" t="s">
        <v>979</v>
      </c>
      <c r="C362" s="20" t="s">
        <v>980</v>
      </c>
      <c r="D362" s="20" t="s">
        <v>818</v>
      </c>
    </row>
    <row r="363" customFormat="false" ht="15" hidden="false" customHeight="false" outlineLevel="0" collapsed="false">
      <c r="A363" s="20" t="s">
        <v>245</v>
      </c>
      <c r="B363" s="20" t="s">
        <v>816</v>
      </c>
      <c r="C363" s="20" t="s">
        <v>817</v>
      </c>
      <c r="D363" s="20" t="s">
        <v>818</v>
      </c>
    </row>
    <row r="364" customFormat="false" ht="15" hidden="false" customHeight="false" outlineLevel="0" collapsed="false">
      <c r="A364" s="20" t="s">
        <v>253</v>
      </c>
      <c r="B364" s="20" t="s">
        <v>101</v>
      </c>
      <c r="C364" s="20" t="s">
        <v>102</v>
      </c>
      <c r="D364" s="20" t="s">
        <v>814</v>
      </c>
    </row>
    <row r="365" customFormat="false" ht="15" hidden="false" customHeight="false" outlineLevel="0" collapsed="false">
      <c r="A365" s="20" t="s">
        <v>253</v>
      </c>
      <c r="B365" s="20" t="s">
        <v>110</v>
      </c>
      <c r="C365" s="20" t="s">
        <v>111</v>
      </c>
      <c r="D365" s="20" t="s">
        <v>814</v>
      </c>
    </row>
    <row r="366" customFormat="false" ht="15" hidden="false" customHeight="false" outlineLevel="0" collapsed="false">
      <c r="A366" s="20" t="s">
        <v>253</v>
      </c>
      <c r="B366" s="20" t="s">
        <v>117</v>
      </c>
      <c r="C366" s="20" t="s">
        <v>118</v>
      </c>
      <c r="D366" s="20" t="s">
        <v>814</v>
      </c>
    </row>
    <row r="367" customFormat="false" ht="15" hidden="false" customHeight="false" outlineLevel="0" collapsed="false">
      <c r="A367" s="20" t="s">
        <v>253</v>
      </c>
      <c r="B367" s="20" t="s">
        <v>125</v>
      </c>
      <c r="C367" s="20" t="s">
        <v>126</v>
      </c>
      <c r="D367" s="20" t="s">
        <v>814</v>
      </c>
    </row>
    <row r="368" customFormat="false" ht="15" hidden="false" customHeight="false" outlineLevel="0" collapsed="false">
      <c r="A368" s="20" t="s">
        <v>253</v>
      </c>
      <c r="B368" s="20" t="s">
        <v>132</v>
      </c>
      <c r="C368" s="20" t="s">
        <v>133</v>
      </c>
      <c r="D368" s="20" t="s">
        <v>814</v>
      </c>
    </row>
    <row r="369" customFormat="false" ht="15" hidden="false" customHeight="false" outlineLevel="0" collapsed="false">
      <c r="A369" s="20" t="s">
        <v>253</v>
      </c>
      <c r="B369" s="20" t="s">
        <v>140</v>
      </c>
      <c r="C369" s="20" t="s">
        <v>141</v>
      </c>
      <c r="D369" s="20" t="s">
        <v>814</v>
      </c>
    </row>
    <row r="370" customFormat="false" ht="15" hidden="false" customHeight="false" outlineLevel="0" collapsed="false">
      <c r="A370" s="20" t="s">
        <v>253</v>
      </c>
      <c r="B370" s="20" t="s">
        <v>148</v>
      </c>
      <c r="C370" s="20" t="s">
        <v>149</v>
      </c>
      <c r="D370" s="20" t="s">
        <v>814</v>
      </c>
    </row>
    <row r="371" customFormat="false" ht="15" hidden="false" customHeight="false" outlineLevel="0" collapsed="false">
      <c r="A371" s="20" t="s">
        <v>253</v>
      </c>
      <c r="B371" s="20" t="s">
        <v>155</v>
      </c>
      <c r="C371" s="20" t="s">
        <v>156</v>
      </c>
      <c r="D371" s="20" t="s">
        <v>814</v>
      </c>
    </row>
    <row r="372" customFormat="false" ht="15" hidden="false" customHeight="false" outlineLevel="0" collapsed="false">
      <c r="A372" s="20" t="s">
        <v>253</v>
      </c>
      <c r="B372" s="20" t="s">
        <v>162</v>
      </c>
      <c r="C372" s="20" t="s">
        <v>163</v>
      </c>
      <c r="D372" s="20" t="s">
        <v>814</v>
      </c>
    </row>
    <row r="373" customFormat="false" ht="15" hidden="false" customHeight="false" outlineLevel="0" collapsed="false">
      <c r="A373" s="20" t="s">
        <v>253</v>
      </c>
      <c r="B373" s="20" t="s">
        <v>169</v>
      </c>
      <c r="C373" s="20" t="s">
        <v>170</v>
      </c>
      <c r="D373" s="20" t="s">
        <v>814</v>
      </c>
    </row>
    <row r="374" customFormat="false" ht="15" hidden="false" customHeight="false" outlineLevel="0" collapsed="false">
      <c r="A374" s="20" t="s">
        <v>253</v>
      </c>
      <c r="B374" s="20" t="s">
        <v>176</v>
      </c>
      <c r="C374" s="20" t="s">
        <v>177</v>
      </c>
      <c r="D374" s="20" t="s">
        <v>814</v>
      </c>
    </row>
    <row r="375" customFormat="false" ht="15" hidden="false" customHeight="false" outlineLevel="0" collapsed="false">
      <c r="A375" s="20" t="s">
        <v>253</v>
      </c>
      <c r="B375" s="20" t="s">
        <v>183</v>
      </c>
      <c r="C375" s="20" t="s">
        <v>184</v>
      </c>
      <c r="D375" s="20" t="s">
        <v>814</v>
      </c>
    </row>
    <row r="376" customFormat="false" ht="15" hidden="false" customHeight="false" outlineLevel="0" collapsed="false">
      <c r="A376" s="20" t="s">
        <v>253</v>
      </c>
      <c r="B376" s="20" t="s">
        <v>190</v>
      </c>
      <c r="C376" s="20" t="s">
        <v>191</v>
      </c>
      <c r="D376" s="20" t="s">
        <v>814</v>
      </c>
    </row>
    <row r="377" customFormat="false" ht="15" hidden="false" customHeight="false" outlineLevel="0" collapsed="false">
      <c r="A377" s="20" t="s">
        <v>253</v>
      </c>
      <c r="B377" s="20" t="s">
        <v>198</v>
      </c>
      <c r="C377" s="20" t="s">
        <v>199</v>
      </c>
      <c r="D377" s="20" t="s">
        <v>814</v>
      </c>
    </row>
    <row r="378" customFormat="false" ht="15" hidden="false" customHeight="false" outlineLevel="0" collapsed="false">
      <c r="A378" s="20" t="s">
        <v>253</v>
      </c>
      <c r="B378" s="20" t="s">
        <v>85</v>
      </c>
      <c r="C378" s="20" t="s">
        <v>86</v>
      </c>
      <c r="D378" s="20" t="s">
        <v>814</v>
      </c>
    </row>
    <row r="379" customFormat="false" ht="15" hidden="false" customHeight="false" outlineLevel="0" collapsed="false">
      <c r="A379" s="20" t="s">
        <v>253</v>
      </c>
      <c r="B379" s="20" t="s">
        <v>816</v>
      </c>
      <c r="C379" s="20" t="s">
        <v>817</v>
      </c>
      <c r="D379" s="20" t="s">
        <v>818</v>
      </c>
    </row>
    <row r="380" customFormat="false" ht="15" hidden="false" customHeight="false" outlineLevel="0" collapsed="false">
      <c r="A380" s="20" t="s">
        <v>261</v>
      </c>
      <c r="B380" s="20" t="s">
        <v>207</v>
      </c>
      <c r="C380" s="20" t="s">
        <v>208</v>
      </c>
      <c r="D380" s="20" t="s">
        <v>814</v>
      </c>
    </row>
    <row r="381" customFormat="false" ht="15" hidden="false" customHeight="false" outlineLevel="0" collapsed="false">
      <c r="A381" s="20" t="s">
        <v>261</v>
      </c>
      <c r="B381" s="20" t="s">
        <v>217</v>
      </c>
      <c r="C381" s="20" t="s">
        <v>218</v>
      </c>
      <c r="D381" s="20" t="s">
        <v>814</v>
      </c>
    </row>
    <row r="382" customFormat="false" ht="15" hidden="false" customHeight="false" outlineLevel="0" collapsed="false">
      <c r="A382" s="20" t="s">
        <v>261</v>
      </c>
      <c r="B382" s="20" t="s">
        <v>226</v>
      </c>
      <c r="C382" s="20" t="s">
        <v>227</v>
      </c>
      <c r="D382" s="20" t="s">
        <v>814</v>
      </c>
    </row>
    <row r="383" customFormat="false" ht="15" hidden="false" customHeight="false" outlineLevel="0" collapsed="false">
      <c r="A383" s="20" t="s">
        <v>261</v>
      </c>
      <c r="B383" s="20" t="s">
        <v>235</v>
      </c>
      <c r="C383" s="20" t="s">
        <v>236</v>
      </c>
      <c r="D383" s="20" t="s">
        <v>814</v>
      </c>
    </row>
    <row r="384" customFormat="false" ht="15" hidden="false" customHeight="false" outlineLevel="0" collapsed="false">
      <c r="A384" s="20" t="s">
        <v>261</v>
      </c>
      <c r="B384" s="20" t="s">
        <v>244</v>
      </c>
      <c r="C384" s="20" t="s">
        <v>245</v>
      </c>
      <c r="D384" s="20" t="s">
        <v>814</v>
      </c>
    </row>
    <row r="385" customFormat="false" ht="15" hidden="false" customHeight="false" outlineLevel="0" collapsed="false">
      <c r="A385" s="20" t="s">
        <v>261</v>
      </c>
      <c r="B385" s="20" t="s">
        <v>67</v>
      </c>
      <c r="C385" s="20" t="s">
        <v>68</v>
      </c>
      <c r="D385" s="20" t="s">
        <v>814</v>
      </c>
    </row>
    <row r="386" customFormat="false" ht="15" hidden="false" customHeight="false" outlineLevel="0" collapsed="false">
      <c r="A386" s="20" t="s">
        <v>261</v>
      </c>
      <c r="B386" s="20" t="s">
        <v>85</v>
      </c>
      <c r="C386" s="20" t="s">
        <v>86</v>
      </c>
      <c r="D386" s="20" t="s">
        <v>814</v>
      </c>
    </row>
    <row r="387" customFormat="false" ht="15" hidden="false" customHeight="false" outlineLevel="0" collapsed="false">
      <c r="A387" s="20" t="s">
        <v>261</v>
      </c>
      <c r="B387" s="20" t="s">
        <v>915</v>
      </c>
      <c r="C387" s="20" t="s">
        <v>916</v>
      </c>
      <c r="D387" s="20" t="s">
        <v>818</v>
      </c>
    </row>
    <row r="388" customFormat="false" ht="15" hidden="false" customHeight="false" outlineLevel="0" collapsed="false">
      <c r="A388" s="20" t="s">
        <v>270</v>
      </c>
      <c r="B388" s="20" t="s">
        <v>67</v>
      </c>
      <c r="C388" s="20" t="s">
        <v>68</v>
      </c>
      <c r="D388" s="20" t="s">
        <v>814</v>
      </c>
    </row>
    <row r="389" customFormat="false" ht="15" hidden="false" customHeight="false" outlineLevel="0" collapsed="false">
      <c r="A389" s="20" t="s">
        <v>270</v>
      </c>
      <c r="B389" s="20" t="s">
        <v>85</v>
      </c>
      <c r="C389" s="20" t="s">
        <v>86</v>
      </c>
      <c r="D389" s="20" t="s">
        <v>814</v>
      </c>
    </row>
    <row r="390" customFormat="false" ht="15" hidden="false" customHeight="false" outlineLevel="0" collapsed="false">
      <c r="A390" s="20" t="s">
        <v>270</v>
      </c>
      <c r="B390" s="20" t="s">
        <v>77</v>
      </c>
      <c r="C390" s="20" t="s">
        <v>78</v>
      </c>
      <c r="D390" s="20" t="s">
        <v>814</v>
      </c>
    </row>
    <row r="391" customFormat="false" ht="15" hidden="false" customHeight="false" outlineLevel="0" collapsed="false">
      <c r="A391" s="20" t="s">
        <v>278</v>
      </c>
      <c r="B391" s="20" t="s">
        <v>101</v>
      </c>
      <c r="C391" s="20" t="s">
        <v>102</v>
      </c>
      <c r="D391" s="20" t="s">
        <v>814</v>
      </c>
    </row>
    <row r="392" customFormat="false" ht="15" hidden="false" customHeight="false" outlineLevel="0" collapsed="false">
      <c r="A392" s="20" t="s">
        <v>278</v>
      </c>
      <c r="B392" s="20" t="s">
        <v>110</v>
      </c>
      <c r="C392" s="20" t="s">
        <v>111</v>
      </c>
      <c r="D392" s="20" t="s">
        <v>814</v>
      </c>
    </row>
    <row r="393" customFormat="false" ht="15" hidden="false" customHeight="false" outlineLevel="0" collapsed="false">
      <c r="A393" s="20" t="s">
        <v>278</v>
      </c>
      <c r="B393" s="20" t="s">
        <v>117</v>
      </c>
      <c r="C393" s="20" t="s">
        <v>118</v>
      </c>
      <c r="D393" s="20" t="s">
        <v>814</v>
      </c>
    </row>
    <row r="394" customFormat="false" ht="15" hidden="false" customHeight="false" outlineLevel="0" collapsed="false">
      <c r="A394" s="20" t="s">
        <v>278</v>
      </c>
      <c r="B394" s="20" t="s">
        <v>125</v>
      </c>
      <c r="C394" s="20" t="s">
        <v>126</v>
      </c>
      <c r="D394" s="20" t="s">
        <v>814</v>
      </c>
    </row>
    <row r="395" customFormat="false" ht="15" hidden="false" customHeight="false" outlineLevel="0" collapsed="false">
      <c r="A395" s="20" t="s">
        <v>278</v>
      </c>
      <c r="B395" s="20" t="s">
        <v>132</v>
      </c>
      <c r="C395" s="20" t="s">
        <v>133</v>
      </c>
      <c r="D395" s="20" t="s">
        <v>814</v>
      </c>
    </row>
    <row r="396" customFormat="false" ht="15" hidden="false" customHeight="false" outlineLevel="0" collapsed="false">
      <c r="A396" s="20" t="s">
        <v>278</v>
      </c>
      <c r="B396" s="20" t="s">
        <v>140</v>
      </c>
      <c r="C396" s="20" t="s">
        <v>141</v>
      </c>
      <c r="D396" s="20" t="s">
        <v>814</v>
      </c>
    </row>
    <row r="397" customFormat="false" ht="15" hidden="false" customHeight="false" outlineLevel="0" collapsed="false">
      <c r="A397" s="20" t="s">
        <v>278</v>
      </c>
      <c r="B397" s="20" t="s">
        <v>148</v>
      </c>
      <c r="C397" s="20" t="s">
        <v>149</v>
      </c>
      <c r="D397" s="20" t="s">
        <v>814</v>
      </c>
    </row>
    <row r="398" customFormat="false" ht="15" hidden="false" customHeight="false" outlineLevel="0" collapsed="false">
      <c r="A398" s="20" t="s">
        <v>278</v>
      </c>
      <c r="B398" s="20" t="s">
        <v>155</v>
      </c>
      <c r="C398" s="20" t="s">
        <v>156</v>
      </c>
      <c r="D398" s="20" t="s">
        <v>814</v>
      </c>
    </row>
    <row r="399" customFormat="false" ht="15" hidden="false" customHeight="false" outlineLevel="0" collapsed="false">
      <c r="A399" s="20" t="s">
        <v>278</v>
      </c>
      <c r="B399" s="20" t="s">
        <v>85</v>
      </c>
      <c r="C399" s="20" t="s">
        <v>86</v>
      </c>
      <c r="D399" s="20" t="s">
        <v>814</v>
      </c>
    </row>
    <row r="400" customFormat="false" ht="15" hidden="false" customHeight="false" outlineLevel="0" collapsed="false">
      <c r="A400" s="20" t="s">
        <v>286</v>
      </c>
      <c r="B400" s="20" t="s">
        <v>981</v>
      </c>
      <c r="C400" s="20" t="s">
        <v>102</v>
      </c>
      <c r="D400" s="20" t="s">
        <v>814</v>
      </c>
    </row>
    <row r="401" customFormat="false" ht="15" hidden="false" customHeight="false" outlineLevel="0" collapsed="false">
      <c r="A401" s="20" t="s">
        <v>286</v>
      </c>
      <c r="B401" s="20" t="s">
        <v>207</v>
      </c>
      <c r="C401" s="20" t="s">
        <v>208</v>
      </c>
      <c r="D401" s="20" t="s">
        <v>814</v>
      </c>
    </row>
    <row r="402" customFormat="false" ht="15" hidden="false" customHeight="false" outlineLevel="0" collapsed="false">
      <c r="A402" s="20" t="s">
        <v>286</v>
      </c>
      <c r="B402" s="20" t="s">
        <v>820</v>
      </c>
      <c r="C402" s="20" t="s">
        <v>295</v>
      </c>
      <c r="D402" s="20" t="s">
        <v>814</v>
      </c>
    </row>
    <row r="403" customFormat="false" ht="15" hidden="false" customHeight="false" outlineLevel="0" collapsed="false">
      <c r="A403" s="20" t="s">
        <v>286</v>
      </c>
      <c r="B403" s="20" t="s">
        <v>902</v>
      </c>
      <c r="C403" s="20" t="s">
        <v>331</v>
      </c>
      <c r="D403" s="20" t="s">
        <v>814</v>
      </c>
    </row>
    <row r="404" customFormat="false" ht="15" hidden="false" customHeight="false" outlineLevel="0" collapsed="false">
      <c r="A404" s="20" t="s">
        <v>286</v>
      </c>
      <c r="B404" s="20" t="s">
        <v>910</v>
      </c>
      <c r="C404" s="20" t="s">
        <v>626</v>
      </c>
      <c r="D404" s="20" t="s">
        <v>814</v>
      </c>
    </row>
    <row r="405" customFormat="false" ht="15" hidden="false" customHeight="false" outlineLevel="0" collapsed="false">
      <c r="A405" s="20" t="s">
        <v>286</v>
      </c>
      <c r="B405" s="20" t="s">
        <v>85</v>
      </c>
      <c r="C405" s="20" t="s">
        <v>86</v>
      </c>
      <c r="D405" s="20" t="s">
        <v>814</v>
      </c>
    </row>
    <row r="406" customFormat="false" ht="15" hidden="false" customHeight="false" outlineLevel="0" collapsed="false">
      <c r="A406" s="20" t="s">
        <v>286</v>
      </c>
      <c r="B406" s="20" t="s">
        <v>915</v>
      </c>
      <c r="C406" s="20" t="s">
        <v>916</v>
      </c>
      <c r="D406" s="20" t="s">
        <v>818</v>
      </c>
    </row>
    <row r="407" customFormat="false" ht="15" hidden="false" customHeight="false" outlineLevel="0" collapsed="false">
      <c r="A407" s="20" t="s">
        <v>286</v>
      </c>
      <c r="B407" s="20" t="s">
        <v>824</v>
      </c>
      <c r="C407" s="20" t="s">
        <v>825</v>
      </c>
      <c r="D407" s="20" t="s">
        <v>818</v>
      </c>
    </row>
    <row r="408" customFormat="false" ht="15" hidden="false" customHeight="false" outlineLevel="0" collapsed="false">
      <c r="A408" s="20" t="s">
        <v>295</v>
      </c>
      <c r="B408" s="20" t="s">
        <v>981</v>
      </c>
      <c r="C408" s="20" t="s">
        <v>102</v>
      </c>
      <c r="D408" s="20" t="s">
        <v>814</v>
      </c>
    </row>
    <row r="409" customFormat="false" ht="15" hidden="false" customHeight="false" outlineLevel="0" collapsed="false">
      <c r="A409" s="20" t="s">
        <v>295</v>
      </c>
      <c r="B409" s="20" t="s">
        <v>217</v>
      </c>
      <c r="C409" s="20" t="s">
        <v>218</v>
      </c>
      <c r="D409" s="20" t="s">
        <v>814</v>
      </c>
    </row>
    <row r="410" customFormat="false" ht="15" hidden="false" customHeight="false" outlineLevel="0" collapsed="false">
      <c r="A410" s="20" t="s">
        <v>295</v>
      </c>
      <c r="B410" s="20" t="s">
        <v>819</v>
      </c>
      <c r="C410" s="20" t="s">
        <v>286</v>
      </c>
      <c r="D410" s="20" t="s">
        <v>814</v>
      </c>
    </row>
    <row r="411" customFormat="false" ht="15" hidden="false" customHeight="false" outlineLevel="0" collapsed="false">
      <c r="A411" s="20" t="s">
        <v>295</v>
      </c>
      <c r="B411" s="20" t="s">
        <v>821</v>
      </c>
      <c r="C411" s="20" t="s">
        <v>304</v>
      </c>
      <c r="D411" s="20" t="s">
        <v>814</v>
      </c>
    </row>
    <row r="412" customFormat="false" ht="15" hidden="false" customHeight="false" outlineLevel="0" collapsed="false">
      <c r="A412" s="20" t="s">
        <v>295</v>
      </c>
      <c r="B412" s="20" t="s">
        <v>918</v>
      </c>
      <c r="C412" s="20" t="s">
        <v>338</v>
      </c>
      <c r="D412" s="20" t="s">
        <v>814</v>
      </c>
    </row>
    <row r="413" customFormat="false" ht="15" hidden="false" customHeight="false" outlineLevel="0" collapsed="false">
      <c r="A413" s="20" t="s">
        <v>295</v>
      </c>
      <c r="B413" s="20" t="s">
        <v>926</v>
      </c>
      <c r="C413" s="20" t="s">
        <v>633</v>
      </c>
      <c r="D413" s="20" t="s">
        <v>814</v>
      </c>
    </row>
    <row r="414" customFormat="false" ht="15" hidden="false" customHeight="false" outlineLevel="0" collapsed="false">
      <c r="A414" s="20" t="s">
        <v>295</v>
      </c>
      <c r="B414" s="20" t="s">
        <v>85</v>
      </c>
      <c r="C414" s="20" t="s">
        <v>86</v>
      </c>
      <c r="D414" s="20" t="s">
        <v>814</v>
      </c>
    </row>
    <row r="415" customFormat="false" ht="15" hidden="false" customHeight="false" outlineLevel="0" collapsed="false">
      <c r="A415" s="20" t="s">
        <v>295</v>
      </c>
      <c r="B415" s="20" t="s">
        <v>931</v>
      </c>
      <c r="C415" s="20" t="s">
        <v>932</v>
      </c>
      <c r="D415" s="20" t="s">
        <v>818</v>
      </c>
    </row>
    <row r="416" customFormat="false" ht="15" hidden="false" customHeight="false" outlineLevel="0" collapsed="false">
      <c r="A416" s="20" t="s">
        <v>295</v>
      </c>
      <c r="B416" s="20" t="s">
        <v>824</v>
      </c>
      <c r="C416" s="20" t="s">
        <v>825</v>
      </c>
      <c r="D416" s="20" t="s">
        <v>818</v>
      </c>
    </row>
    <row r="417" customFormat="false" ht="15" hidden="false" customHeight="false" outlineLevel="0" collapsed="false">
      <c r="A417" s="20" t="s">
        <v>304</v>
      </c>
      <c r="B417" s="20" t="s">
        <v>981</v>
      </c>
      <c r="C417" s="20" t="s">
        <v>102</v>
      </c>
      <c r="D417" s="20" t="s">
        <v>814</v>
      </c>
    </row>
    <row r="418" customFormat="false" ht="15" hidden="false" customHeight="false" outlineLevel="0" collapsed="false">
      <c r="A418" s="20" t="s">
        <v>304</v>
      </c>
      <c r="B418" s="20" t="s">
        <v>226</v>
      </c>
      <c r="C418" s="20" t="s">
        <v>227</v>
      </c>
      <c r="D418" s="20" t="s">
        <v>814</v>
      </c>
    </row>
    <row r="419" customFormat="false" ht="15" hidden="false" customHeight="false" outlineLevel="0" collapsed="false">
      <c r="A419" s="20" t="s">
        <v>304</v>
      </c>
      <c r="B419" s="20" t="s">
        <v>822</v>
      </c>
      <c r="C419" s="20" t="s">
        <v>313</v>
      </c>
      <c r="D419" s="20" t="s">
        <v>814</v>
      </c>
    </row>
    <row r="420" customFormat="false" ht="15" hidden="false" customHeight="false" outlineLevel="0" collapsed="false">
      <c r="A420" s="20" t="s">
        <v>304</v>
      </c>
      <c r="B420" s="20" t="s">
        <v>823</v>
      </c>
      <c r="C420" s="20" t="s">
        <v>322</v>
      </c>
      <c r="D420" s="20" t="s">
        <v>814</v>
      </c>
    </row>
    <row r="421" customFormat="false" ht="15" hidden="false" customHeight="false" outlineLevel="0" collapsed="false">
      <c r="A421" s="20" t="s">
        <v>304</v>
      </c>
      <c r="B421" s="20" t="s">
        <v>934</v>
      </c>
      <c r="C421" s="20" t="s">
        <v>345</v>
      </c>
      <c r="D421" s="20" t="s">
        <v>814</v>
      </c>
    </row>
    <row r="422" customFormat="false" ht="15" hidden="false" customHeight="false" outlineLevel="0" collapsed="false">
      <c r="A422" s="20" t="s">
        <v>304</v>
      </c>
      <c r="B422" s="20" t="s">
        <v>942</v>
      </c>
      <c r="C422" s="20" t="s">
        <v>640</v>
      </c>
      <c r="D422" s="20" t="s">
        <v>814</v>
      </c>
    </row>
    <row r="423" customFormat="false" ht="15" hidden="false" customHeight="false" outlineLevel="0" collapsed="false">
      <c r="A423" s="20" t="s">
        <v>304</v>
      </c>
      <c r="B423" s="20" t="s">
        <v>85</v>
      </c>
      <c r="C423" s="20" t="s">
        <v>86</v>
      </c>
      <c r="D423" s="20" t="s">
        <v>814</v>
      </c>
    </row>
    <row r="424" customFormat="false" ht="15" hidden="false" customHeight="false" outlineLevel="0" collapsed="false">
      <c r="A424" s="20" t="s">
        <v>304</v>
      </c>
      <c r="B424" s="20" t="s">
        <v>947</v>
      </c>
      <c r="C424" s="20" t="s">
        <v>948</v>
      </c>
      <c r="D424" s="20" t="s">
        <v>818</v>
      </c>
    </row>
    <row r="425" customFormat="false" ht="15" hidden="false" customHeight="false" outlineLevel="0" collapsed="false">
      <c r="A425" s="20" t="s">
        <v>304</v>
      </c>
      <c r="B425" s="20" t="s">
        <v>824</v>
      </c>
      <c r="C425" s="20" t="s">
        <v>825</v>
      </c>
      <c r="D425" s="20" t="s">
        <v>818</v>
      </c>
    </row>
    <row r="426" customFormat="false" ht="15" hidden="false" customHeight="false" outlineLevel="0" collapsed="false">
      <c r="A426" s="20" t="s">
        <v>313</v>
      </c>
      <c r="B426" s="20" t="s">
        <v>981</v>
      </c>
      <c r="C426" s="20" t="s">
        <v>102</v>
      </c>
      <c r="D426" s="20" t="s">
        <v>814</v>
      </c>
    </row>
    <row r="427" customFormat="false" ht="15" hidden="false" customHeight="false" outlineLevel="0" collapsed="false">
      <c r="A427" s="20" t="s">
        <v>313</v>
      </c>
      <c r="B427" s="20" t="s">
        <v>235</v>
      </c>
      <c r="C427" s="20" t="s">
        <v>236</v>
      </c>
      <c r="D427" s="20" t="s">
        <v>814</v>
      </c>
    </row>
    <row r="428" customFormat="false" ht="15" hidden="false" customHeight="false" outlineLevel="0" collapsed="false">
      <c r="A428" s="20" t="s">
        <v>313</v>
      </c>
      <c r="B428" s="20" t="s">
        <v>821</v>
      </c>
      <c r="C428" s="20" t="s">
        <v>304</v>
      </c>
      <c r="D428" s="20" t="s">
        <v>814</v>
      </c>
    </row>
    <row r="429" customFormat="false" ht="15" hidden="false" customHeight="false" outlineLevel="0" collapsed="false">
      <c r="A429" s="20" t="s">
        <v>313</v>
      </c>
      <c r="B429" s="20" t="s">
        <v>950</v>
      </c>
      <c r="C429" s="20" t="s">
        <v>352</v>
      </c>
      <c r="D429" s="20" t="s">
        <v>814</v>
      </c>
    </row>
    <row r="430" customFormat="false" ht="15" hidden="false" customHeight="false" outlineLevel="0" collapsed="false">
      <c r="A430" s="20" t="s">
        <v>313</v>
      </c>
      <c r="B430" s="20" t="s">
        <v>958</v>
      </c>
      <c r="C430" s="20" t="s">
        <v>647</v>
      </c>
      <c r="D430" s="20" t="s">
        <v>814</v>
      </c>
    </row>
    <row r="431" customFormat="false" ht="15" hidden="false" customHeight="false" outlineLevel="0" collapsed="false">
      <c r="A431" s="20" t="s">
        <v>313</v>
      </c>
      <c r="B431" s="20" t="s">
        <v>85</v>
      </c>
      <c r="C431" s="20" t="s">
        <v>86</v>
      </c>
      <c r="D431" s="20" t="s">
        <v>814</v>
      </c>
    </row>
    <row r="432" customFormat="false" ht="15" hidden="false" customHeight="false" outlineLevel="0" collapsed="false">
      <c r="A432" s="20" t="s">
        <v>313</v>
      </c>
      <c r="B432" s="20" t="s">
        <v>963</v>
      </c>
      <c r="C432" s="20" t="s">
        <v>964</v>
      </c>
      <c r="D432" s="20" t="s">
        <v>818</v>
      </c>
    </row>
    <row r="433" customFormat="false" ht="15" hidden="false" customHeight="false" outlineLevel="0" collapsed="false">
      <c r="A433" s="20" t="s">
        <v>313</v>
      </c>
      <c r="B433" s="20" t="s">
        <v>824</v>
      </c>
      <c r="C433" s="20" t="s">
        <v>825</v>
      </c>
      <c r="D433" s="20" t="s">
        <v>818</v>
      </c>
    </row>
    <row r="434" customFormat="false" ht="15" hidden="false" customHeight="false" outlineLevel="0" collapsed="false">
      <c r="A434" s="20" t="s">
        <v>322</v>
      </c>
      <c r="B434" s="20" t="s">
        <v>981</v>
      </c>
      <c r="C434" s="20" t="s">
        <v>102</v>
      </c>
      <c r="D434" s="20" t="s">
        <v>814</v>
      </c>
    </row>
    <row r="435" customFormat="false" ht="15" hidden="false" customHeight="false" outlineLevel="0" collapsed="false">
      <c r="A435" s="20" t="s">
        <v>322</v>
      </c>
      <c r="B435" s="20" t="s">
        <v>244</v>
      </c>
      <c r="C435" s="20" t="s">
        <v>245</v>
      </c>
      <c r="D435" s="20" t="s">
        <v>814</v>
      </c>
    </row>
    <row r="436" customFormat="false" ht="15" hidden="false" customHeight="false" outlineLevel="0" collapsed="false">
      <c r="A436" s="20" t="s">
        <v>322</v>
      </c>
      <c r="B436" s="20" t="s">
        <v>821</v>
      </c>
      <c r="C436" s="20" t="s">
        <v>304</v>
      </c>
      <c r="D436" s="20" t="s">
        <v>814</v>
      </c>
    </row>
    <row r="437" customFormat="false" ht="15" hidden="false" customHeight="false" outlineLevel="0" collapsed="false">
      <c r="A437" s="20" t="s">
        <v>322</v>
      </c>
      <c r="B437" s="20" t="s">
        <v>966</v>
      </c>
      <c r="C437" s="20" t="s">
        <v>359</v>
      </c>
      <c r="D437" s="20" t="s">
        <v>814</v>
      </c>
    </row>
    <row r="438" customFormat="false" ht="15" hidden="false" customHeight="false" outlineLevel="0" collapsed="false">
      <c r="A438" s="20" t="s">
        <v>322</v>
      </c>
      <c r="B438" s="20" t="s">
        <v>974</v>
      </c>
      <c r="C438" s="20" t="s">
        <v>654</v>
      </c>
      <c r="D438" s="20" t="s">
        <v>814</v>
      </c>
    </row>
    <row r="439" customFormat="false" ht="15" hidden="false" customHeight="false" outlineLevel="0" collapsed="false">
      <c r="A439" s="20" t="s">
        <v>322</v>
      </c>
      <c r="B439" s="20" t="s">
        <v>85</v>
      </c>
      <c r="C439" s="20" t="s">
        <v>86</v>
      </c>
      <c r="D439" s="20" t="s">
        <v>814</v>
      </c>
    </row>
    <row r="440" customFormat="false" ht="15" hidden="false" customHeight="false" outlineLevel="0" collapsed="false">
      <c r="A440" s="20" t="s">
        <v>322</v>
      </c>
      <c r="B440" s="20" t="s">
        <v>979</v>
      </c>
      <c r="C440" s="20" t="s">
        <v>980</v>
      </c>
      <c r="D440" s="20" t="s">
        <v>818</v>
      </c>
    </row>
    <row r="441" customFormat="false" ht="15" hidden="false" customHeight="false" outlineLevel="0" collapsed="false">
      <c r="A441" s="20" t="s">
        <v>322</v>
      </c>
      <c r="B441" s="20" t="s">
        <v>824</v>
      </c>
      <c r="C441" s="20" t="s">
        <v>825</v>
      </c>
      <c r="D441" s="20" t="s">
        <v>818</v>
      </c>
    </row>
    <row r="442" customFormat="false" ht="15" hidden="false" customHeight="false" outlineLevel="0" collapsed="false">
      <c r="A442" s="20" t="s">
        <v>331</v>
      </c>
      <c r="B442" s="20" t="s">
        <v>982</v>
      </c>
      <c r="C442" s="20" t="s">
        <v>111</v>
      </c>
      <c r="D442" s="20" t="s">
        <v>814</v>
      </c>
    </row>
    <row r="443" customFormat="false" ht="15" hidden="false" customHeight="false" outlineLevel="0" collapsed="false">
      <c r="A443" s="20" t="s">
        <v>331</v>
      </c>
      <c r="B443" s="20" t="s">
        <v>207</v>
      </c>
      <c r="C443" s="20" t="s">
        <v>208</v>
      </c>
      <c r="D443" s="20" t="s">
        <v>814</v>
      </c>
    </row>
    <row r="444" customFormat="false" ht="15" hidden="false" customHeight="false" outlineLevel="0" collapsed="false">
      <c r="A444" s="20" t="s">
        <v>331</v>
      </c>
      <c r="B444" s="20" t="s">
        <v>827</v>
      </c>
      <c r="C444" s="20" t="s">
        <v>338</v>
      </c>
      <c r="D444" s="20" t="s">
        <v>814</v>
      </c>
    </row>
    <row r="445" customFormat="false" ht="15" hidden="false" customHeight="false" outlineLevel="0" collapsed="false">
      <c r="A445" s="20" t="s">
        <v>331</v>
      </c>
      <c r="B445" s="20" t="s">
        <v>901</v>
      </c>
      <c r="C445" s="20" t="s">
        <v>286</v>
      </c>
      <c r="D445" s="20" t="s">
        <v>814</v>
      </c>
    </row>
    <row r="446" customFormat="false" ht="15" hidden="false" customHeight="false" outlineLevel="0" collapsed="false">
      <c r="A446" s="20" t="s">
        <v>331</v>
      </c>
      <c r="B446" s="20" t="s">
        <v>910</v>
      </c>
      <c r="C446" s="20" t="s">
        <v>626</v>
      </c>
      <c r="D446" s="20" t="s">
        <v>814</v>
      </c>
    </row>
    <row r="447" customFormat="false" ht="15" hidden="false" customHeight="false" outlineLevel="0" collapsed="false">
      <c r="A447" s="20" t="s">
        <v>331</v>
      </c>
      <c r="B447" s="20" t="s">
        <v>85</v>
      </c>
      <c r="C447" s="20" t="s">
        <v>86</v>
      </c>
      <c r="D447" s="20" t="s">
        <v>814</v>
      </c>
    </row>
    <row r="448" customFormat="false" ht="15" hidden="false" customHeight="false" outlineLevel="0" collapsed="false">
      <c r="A448" s="20" t="s">
        <v>331</v>
      </c>
      <c r="B448" s="20" t="s">
        <v>915</v>
      </c>
      <c r="C448" s="20" t="s">
        <v>916</v>
      </c>
      <c r="D448" s="20" t="s">
        <v>818</v>
      </c>
    </row>
    <row r="449" customFormat="false" ht="15" hidden="false" customHeight="false" outlineLevel="0" collapsed="false">
      <c r="A449" s="20" t="s">
        <v>331</v>
      </c>
      <c r="B449" s="20" t="s">
        <v>824</v>
      </c>
      <c r="C449" s="20" t="s">
        <v>825</v>
      </c>
      <c r="D449" s="20" t="s">
        <v>818</v>
      </c>
    </row>
    <row r="450" customFormat="false" ht="15" hidden="false" customHeight="false" outlineLevel="0" collapsed="false">
      <c r="A450" s="20" t="s">
        <v>338</v>
      </c>
      <c r="B450" s="20" t="s">
        <v>982</v>
      </c>
      <c r="C450" s="20" t="s">
        <v>111</v>
      </c>
      <c r="D450" s="20" t="s">
        <v>814</v>
      </c>
    </row>
    <row r="451" customFormat="false" ht="15" hidden="false" customHeight="false" outlineLevel="0" collapsed="false">
      <c r="A451" s="20" t="s">
        <v>338</v>
      </c>
      <c r="B451" s="20" t="s">
        <v>217</v>
      </c>
      <c r="C451" s="20" t="s">
        <v>218</v>
      </c>
      <c r="D451" s="20" t="s">
        <v>814</v>
      </c>
    </row>
    <row r="452" customFormat="false" ht="15" hidden="false" customHeight="false" outlineLevel="0" collapsed="false">
      <c r="A452" s="20" t="s">
        <v>338</v>
      </c>
      <c r="B452" s="20" t="s">
        <v>826</v>
      </c>
      <c r="C452" s="20" t="s">
        <v>331</v>
      </c>
      <c r="D452" s="20" t="s">
        <v>814</v>
      </c>
    </row>
    <row r="453" customFormat="false" ht="15" hidden="false" customHeight="false" outlineLevel="0" collapsed="false">
      <c r="A453" s="20" t="s">
        <v>338</v>
      </c>
      <c r="B453" s="20" t="s">
        <v>828</v>
      </c>
      <c r="C453" s="20" t="s">
        <v>345</v>
      </c>
      <c r="D453" s="20" t="s">
        <v>814</v>
      </c>
    </row>
    <row r="454" customFormat="false" ht="15" hidden="false" customHeight="false" outlineLevel="0" collapsed="false">
      <c r="A454" s="20" t="s">
        <v>338</v>
      </c>
      <c r="B454" s="20" t="s">
        <v>917</v>
      </c>
      <c r="C454" s="20" t="s">
        <v>295</v>
      </c>
      <c r="D454" s="20" t="s">
        <v>814</v>
      </c>
    </row>
    <row r="455" customFormat="false" ht="15" hidden="false" customHeight="false" outlineLevel="0" collapsed="false">
      <c r="A455" s="20" t="s">
        <v>338</v>
      </c>
      <c r="B455" s="20" t="s">
        <v>926</v>
      </c>
      <c r="C455" s="20" t="s">
        <v>633</v>
      </c>
      <c r="D455" s="20" t="s">
        <v>814</v>
      </c>
    </row>
    <row r="456" customFormat="false" ht="15" hidden="false" customHeight="false" outlineLevel="0" collapsed="false">
      <c r="A456" s="20" t="s">
        <v>338</v>
      </c>
      <c r="B456" s="20" t="s">
        <v>85</v>
      </c>
      <c r="C456" s="20" t="s">
        <v>86</v>
      </c>
      <c r="D456" s="20" t="s">
        <v>814</v>
      </c>
    </row>
    <row r="457" customFormat="false" ht="15" hidden="false" customHeight="false" outlineLevel="0" collapsed="false">
      <c r="A457" s="20" t="s">
        <v>338</v>
      </c>
      <c r="B457" s="20" t="s">
        <v>931</v>
      </c>
      <c r="C457" s="20" t="s">
        <v>932</v>
      </c>
      <c r="D457" s="20" t="s">
        <v>818</v>
      </c>
    </row>
    <row r="458" customFormat="false" ht="15" hidden="false" customHeight="false" outlineLevel="0" collapsed="false">
      <c r="A458" s="20" t="s">
        <v>338</v>
      </c>
      <c r="B458" s="20" t="s">
        <v>824</v>
      </c>
      <c r="C458" s="20" t="s">
        <v>825</v>
      </c>
      <c r="D458" s="20" t="s">
        <v>818</v>
      </c>
    </row>
    <row r="459" customFormat="false" ht="15" hidden="false" customHeight="false" outlineLevel="0" collapsed="false">
      <c r="A459" s="20" t="s">
        <v>345</v>
      </c>
      <c r="B459" s="20" t="s">
        <v>982</v>
      </c>
      <c r="C459" s="20" t="s">
        <v>111</v>
      </c>
      <c r="D459" s="20" t="s">
        <v>814</v>
      </c>
    </row>
    <row r="460" customFormat="false" ht="15" hidden="false" customHeight="false" outlineLevel="0" collapsed="false">
      <c r="A460" s="20" t="s">
        <v>345</v>
      </c>
      <c r="B460" s="20" t="s">
        <v>226</v>
      </c>
      <c r="C460" s="20" t="s">
        <v>227</v>
      </c>
      <c r="D460" s="20" t="s">
        <v>814</v>
      </c>
    </row>
    <row r="461" customFormat="false" ht="15" hidden="false" customHeight="false" outlineLevel="0" collapsed="false">
      <c r="A461" s="20" t="s">
        <v>345</v>
      </c>
      <c r="B461" s="20" t="s">
        <v>829</v>
      </c>
      <c r="C461" s="20" t="s">
        <v>352</v>
      </c>
      <c r="D461" s="20" t="s">
        <v>814</v>
      </c>
    </row>
    <row r="462" customFormat="false" ht="15" hidden="false" customHeight="false" outlineLevel="0" collapsed="false">
      <c r="A462" s="20" t="s">
        <v>345</v>
      </c>
      <c r="B462" s="20" t="s">
        <v>830</v>
      </c>
      <c r="C462" s="20" t="s">
        <v>359</v>
      </c>
      <c r="D462" s="20" t="s">
        <v>814</v>
      </c>
    </row>
    <row r="463" customFormat="false" ht="15" hidden="false" customHeight="false" outlineLevel="0" collapsed="false">
      <c r="A463" s="20" t="s">
        <v>345</v>
      </c>
      <c r="B463" s="20" t="s">
        <v>933</v>
      </c>
      <c r="C463" s="20" t="s">
        <v>304</v>
      </c>
      <c r="D463" s="20" t="s">
        <v>814</v>
      </c>
    </row>
    <row r="464" customFormat="false" ht="15" hidden="false" customHeight="false" outlineLevel="0" collapsed="false">
      <c r="A464" s="20" t="s">
        <v>345</v>
      </c>
      <c r="B464" s="20" t="s">
        <v>942</v>
      </c>
      <c r="C464" s="20" t="s">
        <v>640</v>
      </c>
      <c r="D464" s="20" t="s">
        <v>814</v>
      </c>
    </row>
    <row r="465" customFormat="false" ht="15" hidden="false" customHeight="false" outlineLevel="0" collapsed="false">
      <c r="A465" s="20" t="s">
        <v>345</v>
      </c>
      <c r="B465" s="20" t="s">
        <v>85</v>
      </c>
      <c r="C465" s="20" t="s">
        <v>86</v>
      </c>
      <c r="D465" s="20" t="s">
        <v>814</v>
      </c>
    </row>
    <row r="466" customFormat="false" ht="15" hidden="false" customHeight="false" outlineLevel="0" collapsed="false">
      <c r="A466" s="20" t="s">
        <v>345</v>
      </c>
      <c r="B466" s="20" t="s">
        <v>947</v>
      </c>
      <c r="C466" s="20" t="s">
        <v>948</v>
      </c>
      <c r="D466" s="20" t="s">
        <v>818</v>
      </c>
    </row>
    <row r="467" customFormat="false" ht="15" hidden="false" customHeight="false" outlineLevel="0" collapsed="false">
      <c r="A467" s="20" t="s">
        <v>345</v>
      </c>
      <c r="B467" s="20" t="s">
        <v>824</v>
      </c>
      <c r="C467" s="20" t="s">
        <v>825</v>
      </c>
      <c r="D467" s="20" t="s">
        <v>818</v>
      </c>
    </row>
    <row r="468" customFormat="false" ht="15" hidden="false" customHeight="false" outlineLevel="0" collapsed="false">
      <c r="A468" s="20" t="s">
        <v>352</v>
      </c>
      <c r="B468" s="20" t="s">
        <v>982</v>
      </c>
      <c r="C468" s="20" t="s">
        <v>111</v>
      </c>
      <c r="D468" s="20" t="s">
        <v>814</v>
      </c>
    </row>
    <row r="469" customFormat="false" ht="15" hidden="false" customHeight="false" outlineLevel="0" collapsed="false">
      <c r="A469" s="20" t="s">
        <v>352</v>
      </c>
      <c r="B469" s="20" t="s">
        <v>235</v>
      </c>
      <c r="C469" s="20" t="s">
        <v>236</v>
      </c>
      <c r="D469" s="20" t="s">
        <v>814</v>
      </c>
    </row>
    <row r="470" customFormat="false" ht="15" hidden="false" customHeight="false" outlineLevel="0" collapsed="false">
      <c r="A470" s="20" t="s">
        <v>352</v>
      </c>
      <c r="B470" s="20" t="s">
        <v>828</v>
      </c>
      <c r="C470" s="20" t="s">
        <v>345</v>
      </c>
      <c r="D470" s="20" t="s">
        <v>814</v>
      </c>
    </row>
    <row r="471" customFormat="false" ht="15" hidden="false" customHeight="false" outlineLevel="0" collapsed="false">
      <c r="A471" s="20" t="s">
        <v>352</v>
      </c>
      <c r="B471" s="20" t="s">
        <v>949</v>
      </c>
      <c r="C471" s="20" t="s">
        <v>313</v>
      </c>
      <c r="D471" s="20" t="s">
        <v>814</v>
      </c>
    </row>
    <row r="472" customFormat="false" ht="15" hidden="false" customHeight="false" outlineLevel="0" collapsed="false">
      <c r="A472" s="20" t="s">
        <v>352</v>
      </c>
      <c r="B472" s="20" t="s">
        <v>958</v>
      </c>
      <c r="C472" s="20" t="s">
        <v>647</v>
      </c>
      <c r="D472" s="20" t="s">
        <v>814</v>
      </c>
    </row>
    <row r="473" customFormat="false" ht="15" hidden="false" customHeight="false" outlineLevel="0" collapsed="false">
      <c r="A473" s="20" t="s">
        <v>352</v>
      </c>
      <c r="B473" s="20" t="s">
        <v>85</v>
      </c>
      <c r="C473" s="20" t="s">
        <v>86</v>
      </c>
      <c r="D473" s="20" t="s">
        <v>814</v>
      </c>
    </row>
    <row r="474" customFormat="false" ht="15" hidden="false" customHeight="false" outlineLevel="0" collapsed="false">
      <c r="A474" s="20" t="s">
        <v>352</v>
      </c>
      <c r="B474" s="20" t="s">
        <v>963</v>
      </c>
      <c r="C474" s="20" t="s">
        <v>964</v>
      </c>
      <c r="D474" s="20" t="s">
        <v>818</v>
      </c>
    </row>
    <row r="475" customFormat="false" ht="15" hidden="false" customHeight="false" outlineLevel="0" collapsed="false">
      <c r="A475" s="20" t="s">
        <v>352</v>
      </c>
      <c r="B475" s="20" t="s">
        <v>824</v>
      </c>
      <c r="C475" s="20" t="s">
        <v>825</v>
      </c>
      <c r="D475" s="20" t="s">
        <v>818</v>
      </c>
    </row>
    <row r="476" customFormat="false" ht="15" hidden="false" customHeight="false" outlineLevel="0" collapsed="false">
      <c r="A476" s="20" t="s">
        <v>359</v>
      </c>
      <c r="B476" s="20" t="s">
        <v>982</v>
      </c>
      <c r="C476" s="20" t="s">
        <v>111</v>
      </c>
      <c r="D476" s="20" t="s">
        <v>814</v>
      </c>
    </row>
    <row r="477" customFormat="false" ht="15" hidden="false" customHeight="false" outlineLevel="0" collapsed="false">
      <c r="A477" s="20" t="s">
        <v>359</v>
      </c>
      <c r="B477" s="20" t="s">
        <v>244</v>
      </c>
      <c r="C477" s="20" t="s">
        <v>245</v>
      </c>
      <c r="D477" s="20" t="s">
        <v>814</v>
      </c>
    </row>
    <row r="478" customFormat="false" ht="15" hidden="false" customHeight="false" outlineLevel="0" collapsed="false">
      <c r="A478" s="20" t="s">
        <v>359</v>
      </c>
      <c r="B478" s="20" t="s">
        <v>828</v>
      </c>
      <c r="C478" s="20" t="s">
        <v>345</v>
      </c>
      <c r="D478" s="20" t="s">
        <v>814</v>
      </c>
    </row>
    <row r="479" customFormat="false" ht="15" hidden="false" customHeight="false" outlineLevel="0" collapsed="false">
      <c r="A479" s="20" t="s">
        <v>359</v>
      </c>
      <c r="B479" s="20" t="s">
        <v>965</v>
      </c>
      <c r="C479" s="20" t="s">
        <v>322</v>
      </c>
      <c r="D479" s="20" t="s">
        <v>814</v>
      </c>
    </row>
    <row r="480" customFormat="false" ht="15" hidden="false" customHeight="false" outlineLevel="0" collapsed="false">
      <c r="A480" s="20" t="s">
        <v>359</v>
      </c>
      <c r="B480" s="20" t="s">
        <v>974</v>
      </c>
      <c r="C480" s="20" t="s">
        <v>654</v>
      </c>
      <c r="D480" s="20" t="s">
        <v>814</v>
      </c>
    </row>
    <row r="481" customFormat="false" ht="15" hidden="false" customHeight="false" outlineLevel="0" collapsed="false">
      <c r="A481" s="20" t="s">
        <v>359</v>
      </c>
      <c r="B481" s="20" t="s">
        <v>85</v>
      </c>
      <c r="C481" s="20" t="s">
        <v>86</v>
      </c>
      <c r="D481" s="20" t="s">
        <v>814</v>
      </c>
    </row>
    <row r="482" customFormat="false" ht="15" hidden="false" customHeight="false" outlineLevel="0" collapsed="false">
      <c r="A482" s="20" t="s">
        <v>359</v>
      </c>
      <c r="B482" s="20" t="s">
        <v>979</v>
      </c>
      <c r="C482" s="20" t="s">
        <v>980</v>
      </c>
      <c r="D482" s="20" t="s">
        <v>818</v>
      </c>
    </row>
    <row r="483" customFormat="false" ht="15" hidden="false" customHeight="false" outlineLevel="0" collapsed="false">
      <c r="A483" s="20" t="s">
        <v>359</v>
      </c>
      <c r="B483" s="20" t="s">
        <v>824</v>
      </c>
      <c r="C483" s="20" t="s">
        <v>825</v>
      </c>
      <c r="D483" s="20" t="s">
        <v>818</v>
      </c>
    </row>
    <row r="484" customFormat="false" ht="15" hidden="false" customHeight="false" outlineLevel="0" collapsed="false">
      <c r="A484" s="20" t="s">
        <v>366</v>
      </c>
      <c r="B484" s="20" t="s">
        <v>983</v>
      </c>
      <c r="C484" s="20" t="s">
        <v>118</v>
      </c>
      <c r="D484" s="20" t="s">
        <v>814</v>
      </c>
    </row>
    <row r="485" customFormat="false" ht="15" hidden="false" customHeight="false" outlineLevel="0" collapsed="false">
      <c r="A485" s="20" t="s">
        <v>366</v>
      </c>
      <c r="B485" s="20" t="s">
        <v>207</v>
      </c>
      <c r="C485" s="20" t="s">
        <v>208</v>
      </c>
      <c r="D485" s="20" t="s">
        <v>814</v>
      </c>
    </row>
    <row r="486" customFormat="false" ht="15" hidden="false" customHeight="false" outlineLevel="0" collapsed="false">
      <c r="A486" s="20" t="s">
        <v>366</v>
      </c>
      <c r="B486" s="20" t="s">
        <v>832</v>
      </c>
      <c r="C486" s="20" t="s">
        <v>374</v>
      </c>
      <c r="D486" s="20" t="s">
        <v>814</v>
      </c>
    </row>
    <row r="487" customFormat="false" ht="15" hidden="false" customHeight="false" outlineLevel="0" collapsed="false">
      <c r="A487" s="20" t="s">
        <v>366</v>
      </c>
      <c r="B487" s="20" t="s">
        <v>904</v>
      </c>
      <c r="C487" s="20" t="s">
        <v>406</v>
      </c>
      <c r="D487" s="20" t="s">
        <v>814</v>
      </c>
    </row>
    <row r="488" customFormat="false" ht="15" hidden="false" customHeight="false" outlineLevel="0" collapsed="false">
      <c r="A488" s="20" t="s">
        <v>366</v>
      </c>
      <c r="B488" s="20" t="s">
        <v>905</v>
      </c>
      <c r="C488" s="20" t="s">
        <v>441</v>
      </c>
      <c r="D488" s="20" t="s">
        <v>814</v>
      </c>
    </row>
    <row r="489" customFormat="false" ht="15" hidden="false" customHeight="false" outlineLevel="0" collapsed="false">
      <c r="A489" s="20" t="s">
        <v>366</v>
      </c>
      <c r="B489" s="20" t="s">
        <v>85</v>
      </c>
      <c r="C489" s="20" t="s">
        <v>86</v>
      </c>
      <c r="D489" s="20" t="s">
        <v>814</v>
      </c>
    </row>
    <row r="490" customFormat="false" ht="15" hidden="false" customHeight="false" outlineLevel="0" collapsed="false">
      <c r="A490" s="20" t="s">
        <v>366</v>
      </c>
      <c r="B490" s="20" t="s">
        <v>915</v>
      </c>
      <c r="C490" s="20" t="s">
        <v>916</v>
      </c>
      <c r="D490" s="20" t="s">
        <v>818</v>
      </c>
    </row>
    <row r="491" customFormat="false" ht="15" hidden="false" customHeight="false" outlineLevel="0" collapsed="false">
      <c r="A491" s="20" t="s">
        <v>366</v>
      </c>
      <c r="B491" s="20" t="s">
        <v>836</v>
      </c>
      <c r="C491" s="20" t="s">
        <v>837</v>
      </c>
      <c r="D491" s="20" t="s">
        <v>818</v>
      </c>
    </row>
    <row r="492" customFormat="false" ht="15" hidden="false" customHeight="false" outlineLevel="0" collapsed="false">
      <c r="A492" s="20" t="s">
        <v>374</v>
      </c>
      <c r="B492" s="20" t="s">
        <v>983</v>
      </c>
      <c r="C492" s="20" t="s">
        <v>118</v>
      </c>
      <c r="D492" s="20" t="s">
        <v>814</v>
      </c>
    </row>
    <row r="493" customFormat="false" ht="15" hidden="false" customHeight="false" outlineLevel="0" collapsed="false">
      <c r="A493" s="20" t="s">
        <v>374</v>
      </c>
      <c r="B493" s="20" t="s">
        <v>217</v>
      </c>
      <c r="C493" s="20" t="s">
        <v>218</v>
      </c>
      <c r="D493" s="20" t="s">
        <v>814</v>
      </c>
    </row>
    <row r="494" customFormat="false" ht="15" hidden="false" customHeight="false" outlineLevel="0" collapsed="false">
      <c r="A494" s="20" t="s">
        <v>374</v>
      </c>
      <c r="B494" s="20" t="s">
        <v>831</v>
      </c>
      <c r="C494" s="20" t="s">
        <v>366</v>
      </c>
      <c r="D494" s="20" t="s">
        <v>814</v>
      </c>
    </row>
    <row r="495" customFormat="false" ht="15" hidden="false" customHeight="false" outlineLevel="0" collapsed="false">
      <c r="A495" s="20" t="s">
        <v>374</v>
      </c>
      <c r="B495" s="20" t="s">
        <v>833</v>
      </c>
      <c r="C495" s="20" t="s">
        <v>382</v>
      </c>
      <c r="D495" s="20" t="s">
        <v>814</v>
      </c>
    </row>
    <row r="496" customFormat="false" ht="15" hidden="false" customHeight="false" outlineLevel="0" collapsed="false">
      <c r="A496" s="20" t="s">
        <v>374</v>
      </c>
      <c r="B496" s="20" t="s">
        <v>920</v>
      </c>
      <c r="C496" s="20" t="s">
        <v>413</v>
      </c>
      <c r="D496" s="20" t="s">
        <v>814</v>
      </c>
    </row>
    <row r="497" customFormat="false" ht="15" hidden="false" customHeight="false" outlineLevel="0" collapsed="false">
      <c r="A497" s="20" t="s">
        <v>374</v>
      </c>
      <c r="B497" s="20" t="s">
        <v>921</v>
      </c>
      <c r="C497" s="20" t="s">
        <v>449</v>
      </c>
      <c r="D497" s="20" t="s">
        <v>814</v>
      </c>
    </row>
    <row r="498" customFormat="false" ht="15" hidden="false" customHeight="false" outlineLevel="0" collapsed="false">
      <c r="A498" s="20" t="s">
        <v>374</v>
      </c>
      <c r="B498" s="20" t="s">
        <v>85</v>
      </c>
      <c r="C498" s="20" t="s">
        <v>86</v>
      </c>
      <c r="D498" s="20" t="s">
        <v>814</v>
      </c>
    </row>
    <row r="499" customFormat="false" ht="15" hidden="false" customHeight="false" outlineLevel="0" collapsed="false">
      <c r="A499" s="20" t="s">
        <v>374</v>
      </c>
      <c r="B499" s="20" t="s">
        <v>931</v>
      </c>
      <c r="C499" s="20" t="s">
        <v>932</v>
      </c>
      <c r="D499" s="20" t="s">
        <v>818</v>
      </c>
    </row>
    <row r="500" customFormat="false" ht="15" hidden="false" customHeight="false" outlineLevel="0" collapsed="false">
      <c r="A500" s="20" t="s">
        <v>374</v>
      </c>
      <c r="B500" s="20" t="s">
        <v>836</v>
      </c>
      <c r="C500" s="20" t="s">
        <v>837</v>
      </c>
      <c r="D500" s="20" t="s">
        <v>818</v>
      </c>
    </row>
    <row r="501" customFormat="false" ht="15" hidden="false" customHeight="false" outlineLevel="0" collapsed="false">
      <c r="A501" s="20" t="s">
        <v>382</v>
      </c>
      <c r="B501" s="20" t="s">
        <v>983</v>
      </c>
      <c r="C501" s="20" t="s">
        <v>118</v>
      </c>
      <c r="D501" s="20" t="s">
        <v>814</v>
      </c>
    </row>
    <row r="502" customFormat="false" ht="15" hidden="false" customHeight="false" outlineLevel="0" collapsed="false">
      <c r="A502" s="20" t="s">
        <v>382</v>
      </c>
      <c r="B502" s="20" t="s">
        <v>226</v>
      </c>
      <c r="C502" s="20" t="s">
        <v>227</v>
      </c>
      <c r="D502" s="20" t="s">
        <v>814</v>
      </c>
    </row>
    <row r="503" customFormat="false" ht="15" hidden="false" customHeight="false" outlineLevel="0" collapsed="false">
      <c r="A503" s="20" t="s">
        <v>382</v>
      </c>
      <c r="B503" s="20" t="s">
        <v>834</v>
      </c>
      <c r="C503" s="20" t="s">
        <v>390</v>
      </c>
      <c r="D503" s="20" t="s">
        <v>814</v>
      </c>
    </row>
    <row r="504" customFormat="false" ht="15" hidden="false" customHeight="false" outlineLevel="0" collapsed="false">
      <c r="A504" s="20" t="s">
        <v>382</v>
      </c>
      <c r="B504" s="20" t="s">
        <v>835</v>
      </c>
      <c r="C504" s="20" t="s">
        <v>398</v>
      </c>
      <c r="D504" s="20" t="s">
        <v>814</v>
      </c>
    </row>
    <row r="505" customFormat="false" ht="15" hidden="false" customHeight="false" outlineLevel="0" collapsed="false">
      <c r="A505" s="20" t="s">
        <v>382</v>
      </c>
      <c r="B505" s="20" t="s">
        <v>936</v>
      </c>
      <c r="C505" s="20" t="s">
        <v>420</v>
      </c>
      <c r="D505" s="20" t="s">
        <v>814</v>
      </c>
    </row>
    <row r="506" customFormat="false" ht="15" hidden="false" customHeight="false" outlineLevel="0" collapsed="false">
      <c r="A506" s="20" t="s">
        <v>382</v>
      </c>
      <c r="B506" s="20" t="s">
        <v>937</v>
      </c>
      <c r="C506" s="20" t="s">
        <v>457</v>
      </c>
      <c r="D506" s="20" t="s">
        <v>814</v>
      </c>
    </row>
    <row r="507" customFormat="false" ht="15" hidden="false" customHeight="false" outlineLevel="0" collapsed="false">
      <c r="A507" s="20" t="s">
        <v>382</v>
      </c>
      <c r="B507" s="20" t="s">
        <v>85</v>
      </c>
      <c r="C507" s="20" t="s">
        <v>86</v>
      </c>
      <c r="D507" s="20" t="s">
        <v>814</v>
      </c>
    </row>
    <row r="508" customFormat="false" ht="15" hidden="false" customHeight="false" outlineLevel="0" collapsed="false">
      <c r="A508" s="20" t="s">
        <v>382</v>
      </c>
      <c r="B508" s="20" t="s">
        <v>947</v>
      </c>
      <c r="C508" s="20" t="s">
        <v>948</v>
      </c>
      <c r="D508" s="20" t="s">
        <v>818</v>
      </c>
    </row>
    <row r="509" customFormat="false" ht="15" hidden="false" customHeight="false" outlineLevel="0" collapsed="false">
      <c r="A509" s="20" t="s">
        <v>382</v>
      </c>
      <c r="B509" s="20" t="s">
        <v>836</v>
      </c>
      <c r="C509" s="20" t="s">
        <v>837</v>
      </c>
      <c r="D509" s="20" t="s">
        <v>818</v>
      </c>
    </row>
    <row r="510" customFormat="false" ht="15" hidden="false" customHeight="false" outlineLevel="0" collapsed="false">
      <c r="A510" s="20" t="s">
        <v>390</v>
      </c>
      <c r="B510" s="20" t="s">
        <v>983</v>
      </c>
      <c r="C510" s="20" t="s">
        <v>118</v>
      </c>
      <c r="D510" s="20" t="s">
        <v>814</v>
      </c>
    </row>
    <row r="511" customFormat="false" ht="15" hidden="false" customHeight="false" outlineLevel="0" collapsed="false">
      <c r="A511" s="20" t="s">
        <v>390</v>
      </c>
      <c r="B511" s="20" t="s">
        <v>235</v>
      </c>
      <c r="C511" s="20" t="s">
        <v>236</v>
      </c>
      <c r="D511" s="20" t="s">
        <v>814</v>
      </c>
    </row>
    <row r="512" customFormat="false" ht="15" hidden="false" customHeight="false" outlineLevel="0" collapsed="false">
      <c r="A512" s="20" t="s">
        <v>390</v>
      </c>
      <c r="B512" s="20" t="s">
        <v>833</v>
      </c>
      <c r="C512" s="20" t="s">
        <v>382</v>
      </c>
      <c r="D512" s="20" t="s">
        <v>814</v>
      </c>
    </row>
    <row r="513" customFormat="false" ht="15" hidden="false" customHeight="false" outlineLevel="0" collapsed="false">
      <c r="A513" s="20" t="s">
        <v>390</v>
      </c>
      <c r="B513" s="20" t="s">
        <v>952</v>
      </c>
      <c r="C513" s="20" t="s">
        <v>427</v>
      </c>
      <c r="D513" s="20" t="s">
        <v>814</v>
      </c>
    </row>
    <row r="514" customFormat="false" ht="15" hidden="false" customHeight="false" outlineLevel="0" collapsed="false">
      <c r="A514" s="20" t="s">
        <v>390</v>
      </c>
      <c r="B514" s="20" t="s">
        <v>953</v>
      </c>
      <c r="C514" s="20" t="s">
        <v>465</v>
      </c>
      <c r="D514" s="20" t="s">
        <v>814</v>
      </c>
    </row>
    <row r="515" customFormat="false" ht="15" hidden="false" customHeight="false" outlineLevel="0" collapsed="false">
      <c r="A515" s="20" t="s">
        <v>390</v>
      </c>
      <c r="B515" s="20" t="s">
        <v>85</v>
      </c>
      <c r="C515" s="20" t="s">
        <v>86</v>
      </c>
      <c r="D515" s="20" t="s">
        <v>814</v>
      </c>
    </row>
    <row r="516" customFormat="false" ht="15" hidden="false" customHeight="false" outlineLevel="0" collapsed="false">
      <c r="A516" s="20" t="s">
        <v>390</v>
      </c>
      <c r="B516" s="20" t="s">
        <v>963</v>
      </c>
      <c r="C516" s="20" t="s">
        <v>964</v>
      </c>
      <c r="D516" s="20" t="s">
        <v>818</v>
      </c>
    </row>
    <row r="517" customFormat="false" ht="15" hidden="false" customHeight="false" outlineLevel="0" collapsed="false">
      <c r="A517" s="20" t="s">
        <v>390</v>
      </c>
      <c r="B517" s="20" t="s">
        <v>836</v>
      </c>
      <c r="C517" s="20" t="s">
        <v>837</v>
      </c>
      <c r="D517" s="20" t="s">
        <v>818</v>
      </c>
    </row>
    <row r="518" customFormat="false" ht="15" hidden="false" customHeight="false" outlineLevel="0" collapsed="false">
      <c r="A518" s="20" t="s">
        <v>398</v>
      </c>
      <c r="B518" s="20" t="s">
        <v>983</v>
      </c>
      <c r="C518" s="20" t="s">
        <v>118</v>
      </c>
      <c r="D518" s="20" t="s">
        <v>814</v>
      </c>
    </row>
    <row r="519" customFormat="false" ht="15" hidden="false" customHeight="false" outlineLevel="0" collapsed="false">
      <c r="A519" s="20" t="s">
        <v>398</v>
      </c>
      <c r="B519" s="20" t="s">
        <v>244</v>
      </c>
      <c r="C519" s="20" t="s">
        <v>245</v>
      </c>
      <c r="D519" s="20" t="s">
        <v>814</v>
      </c>
    </row>
    <row r="520" customFormat="false" ht="15" hidden="false" customHeight="false" outlineLevel="0" collapsed="false">
      <c r="A520" s="20" t="s">
        <v>398</v>
      </c>
      <c r="B520" s="20" t="s">
        <v>833</v>
      </c>
      <c r="C520" s="20" t="s">
        <v>382</v>
      </c>
      <c r="D520" s="20" t="s">
        <v>814</v>
      </c>
    </row>
    <row r="521" customFormat="false" ht="15" hidden="false" customHeight="false" outlineLevel="0" collapsed="false">
      <c r="A521" s="20" t="s">
        <v>398</v>
      </c>
      <c r="B521" s="20" t="s">
        <v>968</v>
      </c>
      <c r="C521" s="20" t="s">
        <v>434</v>
      </c>
      <c r="D521" s="20" t="s">
        <v>814</v>
      </c>
    </row>
    <row r="522" customFormat="false" ht="15" hidden="false" customHeight="false" outlineLevel="0" collapsed="false">
      <c r="A522" s="20" t="s">
        <v>398</v>
      </c>
      <c r="B522" s="20" t="s">
        <v>969</v>
      </c>
      <c r="C522" s="20" t="s">
        <v>473</v>
      </c>
      <c r="D522" s="20" t="s">
        <v>814</v>
      </c>
    </row>
    <row r="523" customFormat="false" ht="15" hidden="false" customHeight="false" outlineLevel="0" collapsed="false">
      <c r="A523" s="20" t="s">
        <v>398</v>
      </c>
      <c r="B523" s="20" t="s">
        <v>85</v>
      </c>
      <c r="C523" s="20" t="s">
        <v>86</v>
      </c>
      <c r="D523" s="20" t="s">
        <v>814</v>
      </c>
    </row>
    <row r="524" customFormat="false" ht="15" hidden="false" customHeight="false" outlineLevel="0" collapsed="false">
      <c r="A524" s="20" t="s">
        <v>398</v>
      </c>
      <c r="B524" s="20" t="s">
        <v>979</v>
      </c>
      <c r="C524" s="20" t="s">
        <v>980</v>
      </c>
      <c r="D524" s="20" t="s">
        <v>818</v>
      </c>
    </row>
    <row r="525" customFormat="false" ht="15" hidden="false" customHeight="false" outlineLevel="0" collapsed="false">
      <c r="A525" s="20" t="s">
        <v>398</v>
      </c>
      <c r="B525" s="20" t="s">
        <v>836</v>
      </c>
      <c r="C525" s="20" t="s">
        <v>837</v>
      </c>
      <c r="D525" s="20" t="s">
        <v>818</v>
      </c>
    </row>
    <row r="526" customFormat="false" ht="15" hidden="false" customHeight="false" outlineLevel="0" collapsed="false">
      <c r="A526" s="20" t="s">
        <v>406</v>
      </c>
      <c r="B526" s="20" t="s">
        <v>984</v>
      </c>
      <c r="C526" s="20" t="s">
        <v>126</v>
      </c>
      <c r="D526" s="20" t="s">
        <v>814</v>
      </c>
    </row>
    <row r="527" customFormat="false" ht="15" hidden="false" customHeight="false" outlineLevel="0" collapsed="false">
      <c r="A527" s="20" t="s">
        <v>406</v>
      </c>
      <c r="B527" s="20" t="s">
        <v>207</v>
      </c>
      <c r="C527" s="20" t="s">
        <v>208</v>
      </c>
      <c r="D527" s="20" t="s">
        <v>814</v>
      </c>
    </row>
    <row r="528" customFormat="false" ht="15" hidden="false" customHeight="false" outlineLevel="0" collapsed="false">
      <c r="A528" s="20" t="s">
        <v>406</v>
      </c>
      <c r="B528" s="20" t="s">
        <v>839</v>
      </c>
      <c r="C528" s="20" t="s">
        <v>413</v>
      </c>
      <c r="D528" s="20" t="s">
        <v>814</v>
      </c>
    </row>
    <row r="529" customFormat="false" ht="15" hidden="false" customHeight="false" outlineLevel="0" collapsed="false">
      <c r="A529" s="20" t="s">
        <v>406</v>
      </c>
      <c r="B529" s="20" t="s">
        <v>903</v>
      </c>
      <c r="C529" s="20" t="s">
        <v>366</v>
      </c>
      <c r="D529" s="20" t="s">
        <v>814</v>
      </c>
    </row>
    <row r="530" customFormat="false" ht="15" hidden="false" customHeight="false" outlineLevel="0" collapsed="false">
      <c r="A530" s="20" t="s">
        <v>406</v>
      </c>
      <c r="B530" s="20" t="s">
        <v>905</v>
      </c>
      <c r="C530" s="20" t="s">
        <v>441</v>
      </c>
      <c r="D530" s="20" t="s">
        <v>814</v>
      </c>
    </row>
    <row r="531" customFormat="false" ht="15" hidden="false" customHeight="false" outlineLevel="0" collapsed="false">
      <c r="A531" s="20" t="s">
        <v>406</v>
      </c>
      <c r="B531" s="20" t="s">
        <v>85</v>
      </c>
      <c r="C531" s="20" t="s">
        <v>86</v>
      </c>
      <c r="D531" s="20" t="s">
        <v>814</v>
      </c>
    </row>
    <row r="532" customFormat="false" ht="15" hidden="false" customHeight="false" outlineLevel="0" collapsed="false">
      <c r="A532" s="20" t="s">
        <v>406</v>
      </c>
      <c r="B532" s="20" t="s">
        <v>915</v>
      </c>
      <c r="C532" s="20" t="s">
        <v>916</v>
      </c>
      <c r="D532" s="20" t="s">
        <v>818</v>
      </c>
    </row>
    <row r="533" customFormat="false" ht="15" hidden="false" customHeight="false" outlineLevel="0" collapsed="false">
      <c r="A533" s="20" t="s">
        <v>406</v>
      </c>
      <c r="B533" s="20" t="s">
        <v>836</v>
      </c>
      <c r="C533" s="20" t="s">
        <v>837</v>
      </c>
      <c r="D533" s="20" t="s">
        <v>818</v>
      </c>
    </row>
    <row r="534" customFormat="false" ht="15" hidden="false" customHeight="false" outlineLevel="0" collapsed="false">
      <c r="A534" s="20" t="s">
        <v>413</v>
      </c>
      <c r="B534" s="20" t="s">
        <v>984</v>
      </c>
      <c r="C534" s="20" t="s">
        <v>126</v>
      </c>
      <c r="D534" s="20" t="s">
        <v>814</v>
      </c>
    </row>
    <row r="535" customFormat="false" ht="15" hidden="false" customHeight="false" outlineLevel="0" collapsed="false">
      <c r="A535" s="20" t="s">
        <v>413</v>
      </c>
      <c r="B535" s="20" t="s">
        <v>217</v>
      </c>
      <c r="C535" s="20" t="s">
        <v>218</v>
      </c>
      <c r="D535" s="20" t="s">
        <v>814</v>
      </c>
    </row>
    <row r="536" customFormat="false" ht="15" hidden="false" customHeight="false" outlineLevel="0" collapsed="false">
      <c r="A536" s="20" t="s">
        <v>413</v>
      </c>
      <c r="B536" s="20" t="s">
        <v>838</v>
      </c>
      <c r="C536" s="20" t="s">
        <v>406</v>
      </c>
      <c r="D536" s="20" t="s">
        <v>814</v>
      </c>
    </row>
    <row r="537" customFormat="false" ht="15" hidden="false" customHeight="false" outlineLevel="0" collapsed="false">
      <c r="A537" s="20" t="s">
        <v>413</v>
      </c>
      <c r="B537" s="20" t="s">
        <v>840</v>
      </c>
      <c r="C537" s="20" t="s">
        <v>420</v>
      </c>
      <c r="D537" s="20" t="s">
        <v>814</v>
      </c>
    </row>
    <row r="538" customFormat="false" ht="15" hidden="false" customHeight="false" outlineLevel="0" collapsed="false">
      <c r="A538" s="20" t="s">
        <v>413</v>
      </c>
      <c r="B538" s="20" t="s">
        <v>919</v>
      </c>
      <c r="C538" s="20" t="s">
        <v>374</v>
      </c>
      <c r="D538" s="20" t="s">
        <v>814</v>
      </c>
    </row>
    <row r="539" customFormat="false" ht="15" hidden="false" customHeight="false" outlineLevel="0" collapsed="false">
      <c r="A539" s="20" t="s">
        <v>413</v>
      </c>
      <c r="B539" s="20" t="s">
        <v>921</v>
      </c>
      <c r="C539" s="20" t="s">
        <v>449</v>
      </c>
      <c r="D539" s="20" t="s">
        <v>814</v>
      </c>
    </row>
    <row r="540" customFormat="false" ht="15" hidden="false" customHeight="false" outlineLevel="0" collapsed="false">
      <c r="A540" s="20" t="s">
        <v>413</v>
      </c>
      <c r="B540" s="20" t="s">
        <v>85</v>
      </c>
      <c r="C540" s="20" t="s">
        <v>86</v>
      </c>
      <c r="D540" s="20" t="s">
        <v>814</v>
      </c>
    </row>
    <row r="541" customFormat="false" ht="15" hidden="false" customHeight="false" outlineLevel="0" collapsed="false">
      <c r="A541" s="20" t="s">
        <v>413</v>
      </c>
      <c r="B541" s="20" t="s">
        <v>931</v>
      </c>
      <c r="C541" s="20" t="s">
        <v>932</v>
      </c>
      <c r="D541" s="20" t="s">
        <v>818</v>
      </c>
    </row>
    <row r="542" customFormat="false" ht="15" hidden="false" customHeight="false" outlineLevel="0" collapsed="false">
      <c r="A542" s="20" t="s">
        <v>413</v>
      </c>
      <c r="B542" s="20" t="s">
        <v>836</v>
      </c>
      <c r="C542" s="20" t="s">
        <v>837</v>
      </c>
      <c r="D542" s="20" t="s">
        <v>818</v>
      </c>
    </row>
    <row r="543" customFormat="false" ht="15" hidden="false" customHeight="false" outlineLevel="0" collapsed="false">
      <c r="A543" s="20" t="s">
        <v>420</v>
      </c>
      <c r="B543" s="20" t="s">
        <v>984</v>
      </c>
      <c r="C543" s="20" t="s">
        <v>126</v>
      </c>
      <c r="D543" s="20" t="s">
        <v>814</v>
      </c>
    </row>
    <row r="544" customFormat="false" ht="15" hidden="false" customHeight="false" outlineLevel="0" collapsed="false">
      <c r="A544" s="20" t="s">
        <v>420</v>
      </c>
      <c r="B544" s="20" t="s">
        <v>226</v>
      </c>
      <c r="C544" s="20" t="s">
        <v>227</v>
      </c>
      <c r="D544" s="20" t="s">
        <v>814</v>
      </c>
    </row>
    <row r="545" customFormat="false" ht="15" hidden="false" customHeight="false" outlineLevel="0" collapsed="false">
      <c r="A545" s="20" t="s">
        <v>420</v>
      </c>
      <c r="B545" s="20" t="s">
        <v>841</v>
      </c>
      <c r="C545" s="20" t="s">
        <v>427</v>
      </c>
      <c r="D545" s="20" t="s">
        <v>814</v>
      </c>
    </row>
    <row r="546" customFormat="false" ht="15" hidden="false" customHeight="false" outlineLevel="0" collapsed="false">
      <c r="A546" s="20" t="s">
        <v>420</v>
      </c>
      <c r="B546" s="20" t="s">
        <v>842</v>
      </c>
      <c r="C546" s="20" t="s">
        <v>434</v>
      </c>
      <c r="D546" s="20" t="s">
        <v>814</v>
      </c>
    </row>
    <row r="547" customFormat="false" ht="15" hidden="false" customHeight="false" outlineLevel="0" collapsed="false">
      <c r="A547" s="20" t="s">
        <v>420</v>
      </c>
      <c r="B547" s="20" t="s">
        <v>935</v>
      </c>
      <c r="C547" s="20" t="s">
        <v>382</v>
      </c>
      <c r="D547" s="20" t="s">
        <v>814</v>
      </c>
    </row>
    <row r="548" customFormat="false" ht="15" hidden="false" customHeight="false" outlineLevel="0" collapsed="false">
      <c r="A548" s="20" t="s">
        <v>420</v>
      </c>
      <c r="B548" s="20" t="s">
        <v>937</v>
      </c>
      <c r="C548" s="20" t="s">
        <v>457</v>
      </c>
      <c r="D548" s="20" t="s">
        <v>814</v>
      </c>
    </row>
    <row r="549" customFormat="false" ht="15" hidden="false" customHeight="false" outlineLevel="0" collapsed="false">
      <c r="A549" s="20" t="s">
        <v>420</v>
      </c>
      <c r="B549" s="20" t="s">
        <v>85</v>
      </c>
      <c r="C549" s="20" t="s">
        <v>86</v>
      </c>
      <c r="D549" s="20" t="s">
        <v>814</v>
      </c>
    </row>
    <row r="550" customFormat="false" ht="15" hidden="false" customHeight="false" outlineLevel="0" collapsed="false">
      <c r="A550" s="20" t="s">
        <v>420</v>
      </c>
      <c r="B550" s="20" t="s">
        <v>947</v>
      </c>
      <c r="C550" s="20" t="s">
        <v>948</v>
      </c>
      <c r="D550" s="20" t="s">
        <v>818</v>
      </c>
    </row>
    <row r="551" customFormat="false" ht="15" hidden="false" customHeight="false" outlineLevel="0" collapsed="false">
      <c r="A551" s="20" t="s">
        <v>420</v>
      </c>
      <c r="B551" s="20" t="s">
        <v>836</v>
      </c>
      <c r="C551" s="20" t="s">
        <v>837</v>
      </c>
      <c r="D551" s="20" t="s">
        <v>818</v>
      </c>
    </row>
    <row r="552" customFormat="false" ht="15" hidden="false" customHeight="false" outlineLevel="0" collapsed="false">
      <c r="A552" s="20" t="s">
        <v>427</v>
      </c>
      <c r="B552" s="20" t="s">
        <v>984</v>
      </c>
      <c r="C552" s="20" t="s">
        <v>126</v>
      </c>
      <c r="D552" s="20" t="s">
        <v>814</v>
      </c>
    </row>
    <row r="553" customFormat="false" ht="15" hidden="false" customHeight="false" outlineLevel="0" collapsed="false">
      <c r="A553" s="20" t="s">
        <v>427</v>
      </c>
      <c r="B553" s="20" t="s">
        <v>235</v>
      </c>
      <c r="C553" s="20" t="s">
        <v>236</v>
      </c>
      <c r="D553" s="20" t="s">
        <v>814</v>
      </c>
    </row>
    <row r="554" customFormat="false" ht="15" hidden="false" customHeight="false" outlineLevel="0" collapsed="false">
      <c r="A554" s="20" t="s">
        <v>427</v>
      </c>
      <c r="B554" s="20" t="s">
        <v>840</v>
      </c>
      <c r="C554" s="20" t="s">
        <v>420</v>
      </c>
      <c r="D554" s="20" t="s">
        <v>814</v>
      </c>
    </row>
    <row r="555" customFormat="false" ht="15" hidden="false" customHeight="false" outlineLevel="0" collapsed="false">
      <c r="A555" s="20" t="s">
        <v>427</v>
      </c>
      <c r="B555" s="20" t="s">
        <v>951</v>
      </c>
      <c r="C555" s="20" t="s">
        <v>390</v>
      </c>
      <c r="D555" s="20" t="s">
        <v>814</v>
      </c>
    </row>
    <row r="556" customFormat="false" ht="15" hidden="false" customHeight="false" outlineLevel="0" collapsed="false">
      <c r="A556" s="20" t="s">
        <v>427</v>
      </c>
      <c r="B556" s="20" t="s">
        <v>953</v>
      </c>
      <c r="C556" s="20" t="s">
        <v>465</v>
      </c>
      <c r="D556" s="20" t="s">
        <v>814</v>
      </c>
    </row>
    <row r="557" customFormat="false" ht="15" hidden="false" customHeight="false" outlineLevel="0" collapsed="false">
      <c r="A557" s="20" t="s">
        <v>427</v>
      </c>
      <c r="B557" s="20" t="s">
        <v>85</v>
      </c>
      <c r="C557" s="20" t="s">
        <v>86</v>
      </c>
      <c r="D557" s="20" t="s">
        <v>814</v>
      </c>
    </row>
    <row r="558" customFormat="false" ht="15" hidden="false" customHeight="false" outlineLevel="0" collapsed="false">
      <c r="A558" s="20" t="s">
        <v>427</v>
      </c>
      <c r="B558" s="20" t="s">
        <v>963</v>
      </c>
      <c r="C558" s="20" t="s">
        <v>964</v>
      </c>
      <c r="D558" s="20" t="s">
        <v>818</v>
      </c>
    </row>
    <row r="559" customFormat="false" ht="15" hidden="false" customHeight="false" outlineLevel="0" collapsed="false">
      <c r="A559" s="20" t="s">
        <v>427</v>
      </c>
      <c r="B559" s="20" t="s">
        <v>836</v>
      </c>
      <c r="C559" s="20" t="s">
        <v>837</v>
      </c>
      <c r="D559" s="20" t="s">
        <v>818</v>
      </c>
    </row>
    <row r="560" customFormat="false" ht="15" hidden="false" customHeight="false" outlineLevel="0" collapsed="false">
      <c r="A560" s="20" t="s">
        <v>434</v>
      </c>
      <c r="B560" s="20" t="s">
        <v>984</v>
      </c>
      <c r="C560" s="20" t="s">
        <v>126</v>
      </c>
      <c r="D560" s="20" t="s">
        <v>814</v>
      </c>
    </row>
    <row r="561" customFormat="false" ht="15" hidden="false" customHeight="false" outlineLevel="0" collapsed="false">
      <c r="A561" s="20" t="s">
        <v>434</v>
      </c>
      <c r="B561" s="20" t="s">
        <v>244</v>
      </c>
      <c r="C561" s="20" t="s">
        <v>245</v>
      </c>
      <c r="D561" s="20" t="s">
        <v>814</v>
      </c>
    </row>
    <row r="562" customFormat="false" ht="15" hidden="false" customHeight="false" outlineLevel="0" collapsed="false">
      <c r="A562" s="20" t="s">
        <v>434</v>
      </c>
      <c r="B562" s="20" t="s">
        <v>840</v>
      </c>
      <c r="C562" s="20" t="s">
        <v>420</v>
      </c>
      <c r="D562" s="20" t="s">
        <v>814</v>
      </c>
    </row>
    <row r="563" customFormat="false" ht="15" hidden="false" customHeight="false" outlineLevel="0" collapsed="false">
      <c r="A563" s="20" t="s">
        <v>434</v>
      </c>
      <c r="B563" s="20" t="s">
        <v>967</v>
      </c>
      <c r="C563" s="20" t="s">
        <v>398</v>
      </c>
      <c r="D563" s="20" t="s">
        <v>814</v>
      </c>
    </row>
    <row r="564" customFormat="false" ht="15" hidden="false" customHeight="false" outlineLevel="0" collapsed="false">
      <c r="A564" s="20" t="s">
        <v>434</v>
      </c>
      <c r="B564" s="20" t="s">
        <v>969</v>
      </c>
      <c r="C564" s="20" t="s">
        <v>473</v>
      </c>
      <c r="D564" s="20" t="s">
        <v>814</v>
      </c>
    </row>
    <row r="565" customFormat="false" ht="15" hidden="false" customHeight="false" outlineLevel="0" collapsed="false">
      <c r="A565" s="20" t="s">
        <v>434</v>
      </c>
      <c r="B565" s="20" t="s">
        <v>85</v>
      </c>
      <c r="C565" s="20" t="s">
        <v>86</v>
      </c>
      <c r="D565" s="20" t="s">
        <v>814</v>
      </c>
    </row>
    <row r="566" customFormat="false" ht="15" hidden="false" customHeight="false" outlineLevel="0" collapsed="false">
      <c r="A566" s="20" t="s">
        <v>434</v>
      </c>
      <c r="B566" s="20" t="s">
        <v>979</v>
      </c>
      <c r="C566" s="20" t="s">
        <v>980</v>
      </c>
      <c r="D566" s="20" t="s">
        <v>818</v>
      </c>
    </row>
    <row r="567" customFormat="false" ht="15" hidden="false" customHeight="false" outlineLevel="0" collapsed="false">
      <c r="A567" s="20" t="s">
        <v>434</v>
      </c>
      <c r="B567" s="20" t="s">
        <v>836</v>
      </c>
      <c r="C567" s="20" t="s">
        <v>837</v>
      </c>
      <c r="D567" s="20" t="s">
        <v>818</v>
      </c>
    </row>
    <row r="568" customFormat="false" ht="15" hidden="false" customHeight="false" outlineLevel="0" collapsed="false">
      <c r="A568" s="20" t="s">
        <v>441</v>
      </c>
      <c r="B568" s="20" t="s">
        <v>985</v>
      </c>
      <c r="C568" s="20" t="s">
        <v>133</v>
      </c>
      <c r="D568" s="20" t="s">
        <v>814</v>
      </c>
    </row>
    <row r="569" customFormat="false" ht="15" hidden="false" customHeight="false" outlineLevel="0" collapsed="false">
      <c r="A569" s="20" t="s">
        <v>441</v>
      </c>
      <c r="B569" s="20" t="s">
        <v>207</v>
      </c>
      <c r="C569" s="20" t="s">
        <v>208</v>
      </c>
      <c r="D569" s="20" t="s">
        <v>814</v>
      </c>
    </row>
    <row r="570" customFormat="false" ht="15" hidden="false" customHeight="false" outlineLevel="0" collapsed="false">
      <c r="A570" s="20" t="s">
        <v>441</v>
      </c>
      <c r="B570" s="20" t="s">
        <v>844</v>
      </c>
      <c r="C570" s="20" t="s">
        <v>449</v>
      </c>
      <c r="D570" s="20" t="s">
        <v>814</v>
      </c>
    </row>
    <row r="571" customFormat="false" ht="15" hidden="false" customHeight="false" outlineLevel="0" collapsed="false">
      <c r="A571" s="20" t="s">
        <v>441</v>
      </c>
      <c r="B571" s="20" t="s">
        <v>912</v>
      </c>
      <c r="C571" s="20" t="s">
        <v>696</v>
      </c>
      <c r="D571" s="20" t="s">
        <v>814</v>
      </c>
    </row>
    <row r="572" customFormat="false" ht="15" hidden="false" customHeight="false" outlineLevel="0" collapsed="false">
      <c r="A572" s="20" t="s">
        <v>441</v>
      </c>
      <c r="B572" s="20" t="s">
        <v>903</v>
      </c>
      <c r="C572" s="20" t="s">
        <v>366</v>
      </c>
      <c r="D572" s="20" t="s">
        <v>814</v>
      </c>
    </row>
    <row r="573" customFormat="false" ht="15" hidden="false" customHeight="false" outlineLevel="0" collapsed="false">
      <c r="A573" s="20" t="s">
        <v>441</v>
      </c>
      <c r="B573" s="20" t="s">
        <v>85</v>
      </c>
      <c r="C573" s="20" t="s">
        <v>86</v>
      </c>
      <c r="D573" s="20" t="s">
        <v>814</v>
      </c>
    </row>
    <row r="574" customFormat="false" ht="15" hidden="false" customHeight="false" outlineLevel="0" collapsed="false">
      <c r="A574" s="20" t="s">
        <v>441</v>
      </c>
      <c r="B574" s="20" t="s">
        <v>915</v>
      </c>
      <c r="C574" s="20" t="s">
        <v>916</v>
      </c>
      <c r="D574" s="20" t="s">
        <v>818</v>
      </c>
    </row>
    <row r="575" customFormat="false" ht="15" hidden="false" customHeight="false" outlineLevel="0" collapsed="false">
      <c r="A575" s="20" t="s">
        <v>441</v>
      </c>
      <c r="B575" s="20" t="s">
        <v>848</v>
      </c>
      <c r="C575" s="20" t="s">
        <v>849</v>
      </c>
      <c r="D575" s="20" t="s">
        <v>818</v>
      </c>
    </row>
    <row r="576" customFormat="false" ht="15" hidden="false" customHeight="false" outlineLevel="0" collapsed="false">
      <c r="A576" s="20" t="s">
        <v>449</v>
      </c>
      <c r="B576" s="20" t="s">
        <v>985</v>
      </c>
      <c r="C576" s="20" t="s">
        <v>133</v>
      </c>
      <c r="D576" s="20" t="s">
        <v>814</v>
      </c>
    </row>
    <row r="577" customFormat="false" ht="15" hidden="false" customHeight="false" outlineLevel="0" collapsed="false">
      <c r="A577" s="20" t="s">
        <v>449</v>
      </c>
      <c r="B577" s="20" t="s">
        <v>217</v>
      </c>
      <c r="C577" s="20" t="s">
        <v>218</v>
      </c>
      <c r="D577" s="20" t="s">
        <v>814</v>
      </c>
    </row>
    <row r="578" customFormat="false" ht="15" hidden="false" customHeight="false" outlineLevel="0" collapsed="false">
      <c r="A578" s="20" t="s">
        <v>449</v>
      </c>
      <c r="B578" s="20" t="s">
        <v>843</v>
      </c>
      <c r="C578" s="20" t="s">
        <v>441</v>
      </c>
      <c r="D578" s="20" t="s">
        <v>814</v>
      </c>
    </row>
    <row r="579" customFormat="false" ht="15" hidden="false" customHeight="false" outlineLevel="0" collapsed="false">
      <c r="A579" s="20" t="s">
        <v>449</v>
      </c>
      <c r="B579" s="20" t="s">
        <v>845</v>
      </c>
      <c r="C579" s="20" t="s">
        <v>457</v>
      </c>
      <c r="D579" s="20" t="s">
        <v>814</v>
      </c>
    </row>
    <row r="580" customFormat="false" ht="15" hidden="false" customHeight="false" outlineLevel="0" collapsed="false">
      <c r="A580" s="20" t="s">
        <v>449</v>
      </c>
      <c r="B580" s="20" t="s">
        <v>928</v>
      </c>
      <c r="C580" s="20" t="s">
        <v>703</v>
      </c>
      <c r="D580" s="20" t="s">
        <v>814</v>
      </c>
    </row>
    <row r="581" customFormat="false" ht="15" hidden="false" customHeight="false" outlineLevel="0" collapsed="false">
      <c r="A581" s="20" t="s">
        <v>449</v>
      </c>
      <c r="B581" s="20" t="s">
        <v>919</v>
      </c>
      <c r="C581" s="20" t="s">
        <v>374</v>
      </c>
      <c r="D581" s="20" t="s">
        <v>814</v>
      </c>
    </row>
    <row r="582" customFormat="false" ht="15" hidden="false" customHeight="false" outlineLevel="0" collapsed="false">
      <c r="A582" s="20" t="s">
        <v>449</v>
      </c>
      <c r="B582" s="20" t="s">
        <v>85</v>
      </c>
      <c r="C582" s="20" t="s">
        <v>86</v>
      </c>
      <c r="D582" s="20" t="s">
        <v>814</v>
      </c>
    </row>
    <row r="583" customFormat="false" ht="15" hidden="false" customHeight="false" outlineLevel="0" collapsed="false">
      <c r="A583" s="20" t="s">
        <v>449</v>
      </c>
      <c r="B583" s="20" t="s">
        <v>931</v>
      </c>
      <c r="C583" s="20" t="s">
        <v>932</v>
      </c>
      <c r="D583" s="20" t="s">
        <v>818</v>
      </c>
    </row>
    <row r="584" customFormat="false" ht="15" hidden="false" customHeight="false" outlineLevel="0" collapsed="false">
      <c r="A584" s="20" t="s">
        <v>449</v>
      </c>
      <c r="B584" s="20" t="s">
        <v>848</v>
      </c>
      <c r="C584" s="20" t="s">
        <v>849</v>
      </c>
      <c r="D584" s="20" t="s">
        <v>818</v>
      </c>
    </row>
    <row r="585" customFormat="false" ht="15" hidden="false" customHeight="false" outlineLevel="0" collapsed="false">
      <c r="A585" s="20" t="s">
        <v>457</v>
      </c>
      <c r="B585" s="20" t="s">
        <v>985</v>
      </c>
      <c r="C585" s="20" t="s">
        <v>133</v>
      </c>
      <c r="D585" s="20" t="s">
        <v>814</v>
      </c>
    </row>
    <row r="586" customFormat="false" ht="15" hidden="false" customHeight="false" outlineLevel="0" collapsed="false">
      <c r="A586" s="20" t="s">
        <v>457</v>
      </c>
      <c r="B586" s="20" t="s">
        <v>226</v>
      </c>
      <c r="C586" s="20" t="s">
        <v>227</v>
      </c>
      <c r="D586" s="20" t="s">
        <v>814</v>
      </c>
    </row>
    <row r="587" customFormat="false" ht="15" hidden="false" customHeight="false" outlineLevel="0" collapsed="false">
      <c r="A587" s="20" t="s">
        <v>457</v>
      </c>
      <c r="B587" s="20" t="s">
        <v>846</v>
      </c>
      <c r="C587" s="20" t="s">
        <v>465</v>
      </c>
      <c r="D587" s="20" t="s">
        <v>814</v>
      </c>
    </row>
    <row r="588" customFormat="false" ht="15" hidden="false" customHeight="false" outlineLevel="0" collapsed="false">
      <c r="A588" s="20" t="s">
        <v>457</v>
      </c>
      <c r="B588" s="20" t="s">
        <v>847</v>
      </c>
      <c r="C588" s="20" t="s">
        <v>473</v>
      </c>
      <c r="D588" s="20" t="s">
        <v>814</v>
      </c>
    </row>
    <row r="589" customFormat="false" ht="15" hidden="false" customHeight="false" outlineLevel="0" collapsed="false">
      <c r="A589" s="20" t="s">
        <v>457</v>
      </c>
      <c r="B589" s="20" t="s">
        <v>944</v>
      </c>
      <c r="C589" s="20" t="s">
        <v>710</v>
      </c>
      <c r="D589" s="20" t="s">
        <v>814</v>
      </c>
    </row>
    <row r="590" customFormat="false" ht="15" hidden="false" customHeight="false" outlineLevel="0" collapsed="false">
      <c r="A590" s="20" t="s">
        <v>457</v>
      </c>
      <c r="B590" s="20" t="s">
        <v>935</v>
      </c>
      <c r="C590" s="20" t="s">
        <v>382</v>
      </c>
      <c r="D590" s="20" t="s">
        <v>814</v>
      </c>
    </row>
    <row r="591" customFormat="false" ht="15" hidden="false" customHeight="false" outlineLevel="0" collapsed="false">
      <c r="A591" s="20" t="s">
        <v>457</v>
      </c>
      <c r="B591" s="20" t="s">
        <v>85</v>
      </c>
      <c r="C591" s="20" t="s">
        <v>86</v>
      </c>
      <c r="D591" s="20" t="s">
        <v>814</v>
      </c>
    </row>
    <row r="592" customFormat="false" ht="15" hidden="false" customHeight="false" outlineLevel="0" collapsed="false">
      <c r="A592" s="20" t="s">
        <v>457</v>
      </c>
      <c r="B592" s="20" t="s">
        <v>947</v>
      </c>
      <c r="C592" s="20" t="s">
        <v>948</v>
      </c>
      <c r="D592" s="20" t="s">
        <v>818</v>
      </c>
    </row>
    <row r="593" customFormat="false" ht="15" hidden="false" customHeight="false" outlineLevel="0" collapsed="false">
      <c r="A593" s="20" t="s">
        <v>457</v>
      </c>
      <c r="B593" s="20" t="s">
        <v>848</v>
      </c>
      <c r="C593" s="20" t="s">
        <v>849</v>
      </c>
      <c r="D593" s="20" t="s">
        <v>818</v>
      </c>
    </row>
    <row r="594" customFormat="false" ht="15" hidden="false" customHeight="false" outlineLevel="0" collapsed="false">
      <c r="A594" s="20" t="s">
        <v>465</v>
      </c>
      <c r="B594" s="20" t="s">
        <v>985</v>
      </c>
      <c r="C594" s="20" t="s">
        <v>133</v>
      </c>
      <c r="D594" s="20" t="s">
        <v>814</v>
      </c>
    </row>
    <row r="595" customFormat="false" ht="15" hidden="false" customHeight="false" outlineLevel="0" collapsed="false">
      <c r="A595" s="20" t="s">
        <v>465</v>
      </c>
      <c r="B595" s="20" t="s">
        <v>235</v>
      </c>
      <c r="C595" s="20" t="s">
        <v>236</v>
      </c>
      <c r="D595" s="20" t="s">
        <v>814</v>
      </c>
    </row>
    <row r="596" customFormat="false" ht="15" hidden="false" customHeight="false" outlineLevel="0" collapsed="false">
      <c r="A596" s="20" t="s">
        <v>465</v>
      </c>
      <c r="B596" s="20" t="s">
        <v>845</v>
      </c>
      <c r="C596" s="20" t="s">
        <v>457</v>
      </c>
      <c r="D596" s="20" t="s">
        <v>814</v>
      </c>
    </row>
    <row r="597" customFormat="false" ht="15" hidden="false" customHeight="false" outlineLevel="0" collapsed="false">
      <c r="A597" s="20" t="s">
        <v>465</v>
      </c>
      <c r="B597" s="20" t="s">
        <v>960</v>
      </c>
      <c r="C597" s="20" t="s">
        <v>717</v>
      </c>
      <c r="D597" s="20" t="s">
        <v>814</v>
      </c>
    </row>
    <row r="598" customFormat="false" ht="15" hidden="false" customHeight="false" outlineLevel="0" collapsed="false">
      <c r="A598" s="20" t="s">
        <v>465</v>
      </c>
      <c r="B598" s="20" t="s">
        <v>951</v>
      </c>
      <c r="C598" s="20" t="s">
        <v>390</v>
      </c>
      <c r="D598" s="20" t="s">
        <v>814</v>
      </c>
    </row>
    <row r="599" customFormat="false" ht="15" hidden="false" customHeight="false" outlineLevel="0" collapsed="false">
      <c r="A599" s="20" t="s">
        <v>465</v>
      </c>
      <c r="B599" s="20" t="s">
        <v>85</v>
      </c>
      <c r="C599" s="20" t="s">
        <v>86</v>
      </c>
      <c r="D599" s="20" t="s">
        <v>814</v>
      </c>
    </row>
    <row r="600" customFormat="false" ht="15" hidden="false" customHeight="false" outlineLevel="0" collapsed="false">
      <c r="A600" s="20" t="s">
        <v>465</v>
      </c>
      <c r="B600" s="20" t="s">
        <v>963</v>
      </c>
      <c r="C600" s="20" t="s">
        <v>964</v>
      </c>
      <c r="D600" s="20" t="s">
        <v>818</v>
      </c>
    </row>
    <row r="601" customFormat="false" ht="15" hidden="false" customHeight="false" outlineLevel="0" collapsed="false">
      <c r="A601" s="20" t="s">
        <v>465</v>
      </c>
      <c r="B601" s="20" t="s">
        <v>848</v>
      </c>
      <c r="C601" s="20" t="s">
        <v>849</v>
      </c>
      <c r="D601" s="20" t="s">
        <v>818</v>
      </c>
    </row>
    <row r="602" customFormat="false" ht="15" hidden="false" customHeight="false" outlineLevel="0" collapsed="false">
      <c r="A602" s="20" t="s">
        <v>473</v>
      </c>
      <c r="B602" s="20" t="s">
        <v>985</v>
      </c>
      <c r="C602" s="20" t="s">
        <v>133</v>
      </c>
      <c r="D602" s="20" t="s">
        <v>814</v>
      </c>
    </row>
    <row r="603" customFormat="false" ht="15" hidden="false" customHeight="false" outlineLevel="0" collapsed="false">
      <c r="A603" s="20" t="s">
        <v>473</v>
      </c>
      <c r="B603" s="20" t="s">
        <v>244</v>
      </c>
      <c r="C603" s="20" t="s">
        <v>245</v>
      </c>
      <c r="D603" s="20" t="s">
        <v>814</v>
      </c>
    </row>
    <row r="604" customFormat="false" ht="15" hidden="false" customHeight="false" outlineLevel="0" collapsed="false">
      <c r="A604" s="20" t="s">
        <v>473</v>
      </c>
      <c r="B604" s="20" t="s">
        <v>845</v>
      </c>
      <c r="C604" s="20" t="s">
        <v>457</v>
      </c>
      <c r="D604" s="20" t="s">
        <v>814</v>
      </c>
    </row>
    <row r="605" customFormat="false" ht="15" hidden="false" customHeight="false" outlineLevel="0" collapsed="false">
      <c r="A605" s="20" t="s">
        <v>473</v>
      </c>
      <c r="B605" s="20" t="s">
        <v>976</v>
      </c>
      <c r="C605" s="20" t="s">
        <v>724</v>
      </c>
      <c r="D605" s="20" t="s">
        <v>814</v>
      </c>
    </row>
    <row r="606" customFormat="false" ht="15" hidden="false" customHeight="false" outlineLevel="0" collapsed="false">
      <c r="A606" s="20" t="s">
        <v>473</v>
      </c>
      <c r="B606" s="20" t="s">
        <v>967</v>
      </c>
      <c r="C606" s="20" t="s">
        <v>398</v>
      </c>
      <c r="D606" s="20" t="s">
        <v>814</v>
      </c>
    </row>
    <row r="607" customFormat="false" ht="15" hidden="false" customHeight="false" outlineLevel="0" collapsed="false">
      <c r="A607" s="20" t="s">
        <v>473</v>
      </c>
      <c r="B607" s="20" t="s">
        <v>85</v>
      </c>
      <c r="C607" s="20" t="s">
        <v>86</v>
      </c>
      <c r="D607" s="20" t="s">
        <v>814</v>
      </c>
    </row>
    <row r="608" customFormat="false" ht="15" hidden="false" customHeight="false" outlineLevel="0" collapsed="false">
      <c r="A608" s="20" t="s">
        <v>473</v>
      </c>
      <c r="B608" s="20" t="s">
        <v>979</v>
      </c>
      <c r="C608" s="20" t="s">
        <v>980</v>
      </c>
      <c r="D608" s="20" t="s">
        <v>818</v>
      </c>
    </row>
    <row r="609" customFormat="false" ht="15" hidden="false" customHeight="false" outlineLevel="0" collapsed="false">
      <c r="A609" s="20" t="s">
        <v>473</v>
      </c>
      <c r="B609" s="20" t="s">
        <v>848</v>
      </c>
      <c r="C609" s="20" t="s">
        <v>849</v>
      </c>
      <c r="D609" s="20" t="s">
        <v>818</v>
      </c>
    </row>
    <row r="610" customFormat="false" ht="15" hidden="false" customHeight="false" outlineLevel="0" collapsed="false">
      <c r="A610" s="20" t="s">
        <v>481</v>
      </c>
      <c r="B610" s="20" t="s">
        <v>986</v>
      </c>
      <c r="C610" s="20" t="s">
        <v>141</v>
      </c>
      <c r="D610" s="20" t="s">
        <v>814</v>
      </c>
    </row>
    <row r="611" customFormat="false" ht="15" hidden="false" customHeight="false" outlineLevel="0" collapsed="false">
      <c r="A611" s="20" t="s">
        <v>481</v>
      </c>
      <c r="B611" s="20" t="s">
        <v>207</v>
      </c>
      <c r="C611" s="20" t="s">
        <v>208</v>
      </c>
      <c r="D611" s="20" t="s">
        <v>814</v>
      </c>
    </row>
    <row r="612" customFormat="false" ht="15" hidden="false" customHeight="false" outlineLevel="0" collapsed="false">
      <c r="A612" s="20" t="s">
        <v>481</v>
      </c>
      <c r="B612" s="20" t="s">
        <v>851</v>
      </c>
      <c r="C612" s="20" t="s">
        <v>489</v>
      </c>
      <c r="D612" s="20" t="s">
        <v>814</v>
      </c>
    </row>
    <row r="613" customFormat="false" ht="15" hidden="false" customHeight="false" outlineLevel="0" collapsed="false">
      <c r="A613" s="20" t="s">
        <v>481</v>
      </c>
      <c r="B613" s="20" t="s">
        <v>907</v>
      </c>
      <c r="C613" s="20" t="s">
        <v>521</v>
      </c>
      <c r="D613" s="20" t="s">
        <v>814</v>
      </c>
    </row>
    <row r="614" customFormat="false" ht="15" hidden="false" customHeight="false" outlineLevel="0" collapsed="false">
      <c r="A614" s="20" t="s">
        <v>481</v>
      </c>
      <c r="B614" s="20" t="s">
        <v>908</v>
      </c>
      <c r="C614" s="20" t="s">
        <v>556</v>
      </c>
      <c r="D614" s="20" t="s">
        <v>814</v>
      </c>
    </row>
    <row r="615" customFormat="false" ht="15" hidden="false" customHeight="false" outlineLevel="0" collapsed="false">
      <c r="A615" s="20" t="s">
        <v>481</v>
      </c>
      <c r="B615" s="20" t="s">
        <v>85</v>
      </c>
      <c r="C615" s="20" t="s">
        <v>86</v>
      </c>
      <c r="D615" s="20" t="s">
        <v>814</v>
      </c>
    </row>
    <row r="616" customFormat="false" ht="15" hidden="false" customHeight="false" outlineLevel="0" collapsed="false">
      <c r="A616" s="20" t="s">
        <v>481</v>
      </c>
      <c r="B616" s="20" t="s">
        <v>915</v>
      </c>
      <c r="C616" s="20" t="s">
        <v>916</v>
      </c>
      <c r="D616" s="20" t="s">
        <v>818</v>
      </c>
    </row>
    <row r="617" customFormat="false" ht="15" hidden="false" customHeight="false" outlineLevel="0" collapsed="false">
      <c r="A617" s="20" t="s">
        <v>481</v>
      </c>
      <c r="B617" s="20" t="s">
        <v>855</v>
      </c>
      <c r="C617" s="20" t="s">
        <v>856</v>
      </c>
      <c r="D617" s="20" t="s">
        <v>818</v>
      </c>
    </row>
    <row r="618" customFormat="false" ht="15" hidden="false" customHeight="false" outlineLevel="0" collapsed="false">
      <c r="A618" s="20" t="s">
        <v>489</v>
      </c>
      <c r="B618" s="20" t="s">
        <v>986</v>
      </c>
      <c r="C618" s="20" t="s">
        <v>141</v>
      </c>
      <c r="D618" s="20" t="s">
        <v>814</v>
      </c>
    </row>
    <row r="619" customFormat="false" ht="15" hidden="false" customHeight="false" outlineLevel="0" collapsed="false">
      <c r="A619" s="20" t="s">
        <v>489</v>
      </c>
      <c r="B619" s="20" t="s">
        <v>217</v>
      </c>
      <c r="C619" s="20" t="s">
        <v>218</v>
      </c>
      <c r="D619" s="20" t="s">
        <v>814</v>
      </c>
    </row>
    <row r="620" customFormat="false" ht="15" hidden="false" customHeight="false" outlineLevel="0" collapsed="false">
      <c r="A620" s="20" t="s">
        <v>489</v>
      </c>
      <c r="B620" s="20" t="s">
        <v>850</v>
      </c>
      <c r="C620" s="20" t="s">
        <v>481</v>
      </c>
      <c r="D620" s="20" t="s">
        <v>814</v>
      </c>
    </row>
    <row r="621" customFormat="false" ht="15" hidden="false" customHeight="false" outlineLevel="0" collapsed="false">
      <c r="A621" s="20" t="s">
        <v>489</v>
      </c>
      <c r="B621" s="20" t="s">
        <v>852</v>
      </c>
      <c r="C621" s="20" t="s">
        <v>497</v>
      </c>
      <c r="D621" s="20" t="s">
        <v>814</v>
      </c>
    </row>
    <row r="622" customFormat="false" ht="15" hidden="false" customHeight="false" outlineLevel="0" collapsed="false">
      <c r="A622" s="20" t="s">
        <v>489</v>
      </c>
      <c r="B622" s="20" t="s">
        <v>923</v>
      </c>
      <c r="C622" s="20" t="s">
        <v>528</v>
      </c>
      <c r="D622" s="20" t="s">
        <v>814</v>
      </c>
    </row>
    <row r="623" customFormat="false" ht="15" hidden="false" customHeight="false" outlineLevel="0" collapsed="false">
      <c r="A623" s="20" t="s">
        <v>489</v>
      </c>
      <c r="B623" s="20" t="s">
        <v>924</v>
      </c>
      <c r="C623" s="20" t="s">
        <v>563</v>
      </c>
      <c r="D623" s="20" t="s">
        <v>814</v>
      </c>
    </row>
    <row r="624" customFormat="false" ht="15" hidden="false" customHeight="false" outlineLevel="0" collapsed="false">
      <c r="A624" s="20" t="s">
        <v>489</v>
      </c>
      <c r="B624" s="20" t="s">
        <v>85</v>
      </c>
      <c r="C624" s="20" t="s">
        <v>86</v>
      </c>
      <c r="D624" s="20" t="s">
        <v>814</v>
      </c>
    </row>
    <row r="625" customFormat="false" ht="15" hidden="false" customHeight="false" outlineLevel="0" collapsed="false">
      <c r="A625" s="20" t="s">
        <v>489</v>
      </c>
      <c r="B625" s="20" t="s">
        <v>931</v>
      </c>
      <c r="C625" s="20" t="s">
        <v>932</v>
      </c>
      <c r="D625" s="20" t="s">
        <v>818</v>
      </c>
    </row>
    <row r="626" customFormat="false" ht="15" hidden="false" customHeight="false" outlineLevel="0" collapsed="false">
      <c r="A626" s="20" t="s">
        <v>489</v>
      </c>
      <c r="B626" s="20" t="s">
        <v>855</v>
      </c>
      <c r="C626" s="20" t="s">
        <v>856</v>
      </c>
      <c r="D626" s="20" t="s">
        <v>818</v>
      </c>
    </row>
    <row r="627" customFormat="false" ht="15" hidden="false" customHeight="false" outlineLevel="0" collapsed="false">
      <c r="A627" s="20" t="s">
        <v>497</v>
      </c>
      <c r="B627" s="20" t="s">
        <v>986</v>
      </c>
      <c r="C627" s="20" t="s">
        <v>141</v>
      </c>
      <c r="D627" s="20" t="s">
        <v>814</v>
      </c>
    </row>
    <row r="628" customFormat="false" ht="15" hidden="false" customHeight="false" outlineLevel="0" collapsed="false">
      <c r="A628" s="20" t="s">
        <v>497</v>
      </c>
      <c r="B628" s="20" t="s">
        <v>226</v>
      </c>
      <c r="C628" s="20" t="s">
        <v>227</v>
      </c>
      <c r="D628" s="20" t="s">
        <v>814</v>
      </c>
    </row>
    <row r="629" customFormat="false" ht="15" hidden="false" customHeight="false" outlineLevel="0" collapsed="false">
      <c r="A629" s="20" t="s">
        <v>497</v>
      </c>
      <c r="B629" s="20" t="s">
        <v>853</v>
      </c>
      <c r="C629" s="20" t="s">
        <v>505</v>
      </c>
      <c r="D629" s="20" t="s">
        <v>814</v>
      </c>
    </row>
    <row r="630" customFormat="false" ht="15" hidden="false" customHeight="false" outlineLevel="0" collapsed="false">
      <c r="A630" s="20" t="s">
        <v>497</v>
      </c>
      <c r="B630" s="20" t="s">
        <v>854</v>
      </c>
      <c r="C630" s="20" t="s">
        <v>513</v>
      </c>
      <c r="D630" s="20" t="s">
        <v>814</v>
      </c>
    </row>
    <row r="631" customFormat="false" ht="15" hidden="false" customHeight="false" outlineLevel="0" collapsed="false">
      <c r="A631" s="20" t="s">
        <v>497</v>
      </c>
      <c r="B631" s="20" t="s">
        <v>939</v>
      </c>
      <c r="C631" s="20" t="s">
        <v>535</v>
      </c>
      <c r="D631" s="20" t="s">
        <v>814</v>
      </c>
    </row>
    <row r="632" customFormat="false" ht="15" hidden="false" customHeight="false" outlineLevel="0" collapsed="false">
      <c r="A632" s="20" t="s">
        <v>497</v>
      </c>
      <c r="B632" s="20" t="s">
        <v>940</v>
      </c>
      <c r="C632" s="20" t="s">
        <v>570</v>
      </c>
      <c r="D632" s="20" t="s">
        <v>814</v>
      </c>
    </row>
    <row r="633" customFormat="false" ht="15" hidden="false" customHeight="false" outlineLevel="0" collapsed="false">
      <c r="A633" s="20" t="s">
        <v>497</v>
      </c>
      <c r="B633" s="20" t="s">
        <v>85</v>
      </c>
      <c r="C633" s="20" t="s">
        <v>86</v>
      </c>
      <c r="D633" s="20" t="s">
        <v>814</v>
      </c>
    </row>
    <row r="634" customFormat="false" ht="15" hidden="false" customHeight="false" outlineLevel="0" collapsed="false">
      <c r="A634" s="20" t="s">
        <v>497</v>
      </c>
      <c r="B634" s="20" t="s">
        <v>947</v>
      </c>
      <c r="C634" s="20" t="s">
        <v>948</v>
      </c>
      <c r="D634" s="20" t="s">
        <v>818</v>
      </c>
    </row>
    <row r="635" customFormat="false" ht="15" hidden="false" customHeight="false" outlineLevel="0" collapsed="false">
      <c r="A635" s="20" t="s">
        <v>497</v>
      </c>
      <c r="B635" s="20" t="s">
        <v>855</v>
      </c>
      <c r="C635" s="20" t="s">
        <v>856</v>
      </c>
      <c r="D635" s="20" t="s">
        <v>818</v>
      </c>
    </row>
    <row r="636" customFormat="false" ht="15" hidden="false" customHeight="false" outlineLevel="0" collapsed="false">
      <c r="A636" s="20" t="s">
        <v>505</v>
      </c>
      <c r="B636" s="20" t="s">
        <v>986</v>
      </c>
      <c r="C636" s="20" t="s">
        <v>141</v>
      </c>
      <c r="D636" s="20" t="s">
        <v>814</v>
      </c>
    </row>
    <row r="637" customFormat="false" ht="15" hidden="false" customHeight="false" outlineLevel="0" collapsed="false">
      <c r="A637" s="20" t="s">
        <v>505</v>
      </c>
      <c r="B637" s="20" t="s">
        <v>235</v>
      </c>
      <c r="C637" s="20" t="s">
        <v>236</v>
      </c>
      <c r="D637" s="20" t="s">
        <v>814</v>
      </c>
    </row>
    <row r="638" customFormat="false" ht="15" hidden="false" customHeight="false" outlineLevel="0" collapsed="false">
      <c r="A638" s="20" t="s">
        <v>505</v>
      </c>
      <c r="B638" s="20" t="s">
        <v>852</v>
      </c>
      <c r="C638" s="20" t="s">
        <v>497</v>
      </c>
      <c r="D638" s="20" t="s">
        <v>814</v>
      </c>
    </row>
    <row r="639" customFormat="false" ht="15" hidden="false" customHeight="false" outlineLevel="0" collapsed="false">
      <c r="A639" s="20" t="s">
        <v>505</v>
      </c>
      <c r="B639" s="20" t="s">
        <v>955</v>
      </c>
      <c r="C639" s="20" t="s">
        <v>542</v>
      </c>
      <c r="D639" s="20" t="s">
        <v>814</v>
      </c>
    </row>
    <row r="640" customFormat="false" ht="15" hidden="false" customHeight="false" outlineLevel="0" collapsed="false">
      <c r="A640" s="20" t="s">
        <v>505</v>
      </c>
      <c r="B640" s="20" t="s">
        <v>956</v>
      </c>
      <c r="C640" s="20" t="s">
        <v>577</v>
      </c>
      <c r="D640" s="20" t="s">
        <v>814</v>
      </c>
    </row>
    <row r="641" customFormat="false" ht="15" hidden="false" customHeight="false" outlineLevel="0" collapsed="false">
      <c r="A641" s="20" t="s">
        <v>505</v>
      </c>
      <c r="B641" s="20" t="s">
        <v>85</v>
      </c>
      <c r="C641" s="20" t="s">
        <v>86</v>
      </c>
      <c r="D641" s="20" t="s">
        <v>814</v>
      </c>
    </row>
    <row r="642" customFormat="false" ht="15" hidden="false" customHeight="false" outlineLevel="0" collapsed="false">
      <c r="A642" s="20" t="s">
        <v>505</v>
      </c>
      <c r="B642" s="20" t="s">
        <v>963</v>
      </c>
      <c r="C642" s="20" t="s">
        <v>964</v>
      </c>
      <c r="D642" s="20" t="s">
        <v>818</v>
      </c>
    </row>
    <row r="643" customFormat="false" ht="15" hidden="false" customHeight="false" outlineLevel="0" collapsed="false">
      <c r="A643" s="20" t="s">
        <v>505</v>
      </c>
      <c r="B643" s="20" t="s">
        <v>855</v>
      </c>
      <c r="C643" s="20" t="s">
        <v>856</v>
      </c>
      <c r="D643" s="20" t="s">
        <v>818</v>
      </c>
    </row>
    <row r="644" customFormat="false" ht="15" hidden="false" customHeight="false" outlineLevel="0" collapsed="false">
      <c r="A644" s="20" t="s">
        <v>513</v>
      </c>
      <c r="B644" s="20" t="s">
        <v>986</v>
      </c>
      <c r="C644" s="20" t="s">
        <v>141</v>
      </c>
      <c r="D644" s="20" t="s">
        <v>814</v>
      </c>
    </row>
    <row r="645" customFormat="false" ht="15" hidden="false" customHeight="false" outlineLevel="0" collapsed="false">
      <c r="A645" s="20" t="s">
        <v>513</v>
      </c>
      <c r="B645" s="20" t="s">
        <v>244</v>
      </c>
      <c r="C645" s="20" t="s">
        <v>245</v>
      </c>
      <c r="D645" s="20" t="s">
        <v>814</v>
      </c>
    </row>
    <row r="646" customFormat="false" ht="15" hidden="false" customHeight="false" outlineLevel="0" collapsed="false">
      <c r="A646" s="20" t="s">
        <v>513</v>
      </c>
      <c r="B646" s="20" t="s">
        <v>852</v>
      </c>
      <c r="C646" s="20" t="s">
        <v>497</v>
      </c>
      <c r="D646" s="20" t="s">
        <v>814</v>
      </c>
    </row>
    <row r="647" customFormat="false" ht="15" hidden="false" customHeight="false" outlineLevel="0" collapsed="false">
      <c r="A647" s="20" t="s">
        <v>513</v>
      </c>
      <c r="B647" s="20" t="s">
        <v>971</v>
      </c>
      <c r="C647" s="20" t="s">
        <v>549</v>
      </c>
      <c r="D647" s="20" t="s">
        <v>814</v>
      </c>
    </row>
    <row r="648" customFormat="false" ht="15" hidden="false" customHeight="false" outlineLevel="0" collapsed="false">
      <c r="A648" s="20" t="s">
        <v>513</v>
      </c>
      <c r="B648" s="20" t="s">
        <v>972</v>
      </c>
      <c r="C648" s="20" t="s">
        <v>584</v>
      </c>
      <c r="D648" s="20" t="s">
        <v>814</v>
      </c>
    </row>
    <row r="649" customFormat="false" ht="15" hidden="false" customHeight="false" outlineLevel="0" collapsed="false">
      <c r="A649" s="20" t="s">
        <v>513</v>
      </c>
      <c r="B649" s="20" t="s">
        <v>85</v>
      </c>
      <c r="C649" s="20" t="s">
        <v>86</v>
      </c>
      <c r="D649" s="20" t="s">
        <v>814</v>
      </c>
    </row>
    <row r="650" customFormat="false" ht="15" hidden="false" customHeight="false" outlineLevel="0" collapsed="false">
      <c r="A650" s="20" t="s">
        <v>513</v>
      </c>
      <c r="B650" s="20" t="s">
        <v>979</v>
      </c>
      <c r="C650" s="20" t="s">
        <v>980</v>
      </c>
      <c r="D650" s="20" t="s">
        <v>818</v>
      </c>
    </row>
    <row r="651" customFormat="false" ht="15" hidden="false" customHeight="false" outlineLevel="0" collapsed="false">
      <c r="A651" s="20" t="s">
        <v>513</v>
      </c>
      <c r="B651" s="20" t="s">
        <v>855</v>
      </c>
      <c r="C651" s="20" t="s">
        <v>856</v>
      </c>
      <c r="D651" s="20" t="s">
        <v>818</v>
      </c>
    </row>
    <row r="652" customFormat="false" ht="15" hidden="false" customHeight="false" outlineLevel="0" collapsed="false">
      <c r="A652" s="20" t="s">
        <v>521</v>
      </c>
      <c r="B652" s="20" t="s">
        <v>987</v>
      </c>
      <c r="C652" s="20" t="s">
        <v>149</v>
      </c>
      <c r="D652" s="20" t="s">
        <v>814</v>
      </c>
    </row>
    <row r="653" customFormat="false" ht="15" hidden="false" customHeight="false" outlineLevel="0" collapsed="false">
      <c r="A653" s="20" t="s">
        <v>521</v>
      </c>
      <c r="B653" s="20" t="s">
        <v>207</v>
      </c>
      <c r="C653" s="20" t="s">
        <v>208</v>
      </c>
      <c r="D653" s="20" t="s">
        <v>814</v>
      </c>
    </row>
    <row r="654" customFormat="false" ht="15" hidden="false" customHeight="false" outlineLevel="0" collapsed="false">
      <c r="A654" s="20" t="s">
        <v>521</v>
      </c>
      <c r="B654" s="20" t="s">
        <v>858</v>
      </c>
      <c r="C654" s="20" t="s">
        <v>528</v>
      </c>
      <c r="D654" s="20" t="s">
        <v>814</v>
      </c>
    </row>
    <row r="655" customFormat="false" ht="15" hidden="false" customHeight="false" outlineLevel="0" collapsed="false">
      <c r="A655" s="20" t="s">
        <v>521</v>
      </c>
      <c r="B655" s="20" t="s">
        <v>906</v>
      </c>
      <c r="C655" s="20" t="s">
        <v>481</v>
      </c>
      <c r="D655" s="20" t="s">
        <v>814</v>
      </c>
    </row>
    <row r="656" customFormat="false" ht="15" hidden="false" customHeight="false" outlineLevel="0" collapsed="false">
      <c r="A656" s="20" t="s">
        <v>521</v>
      </c>
      <c r="B656" s="20" t="s">
        <v>908</v>
      </c>
      <c r="C656" s="20" t="s">
        <v>556</v>
      </c>
      <c r="D656" s="20" t="s">
        <v>814</v>
      </c>
    </row>
    <row r="657" customFormat="false" ht="15" hidden="false" customHeight="false" outlineLevel="0" collapsed="false">
      <c r="A657" s="20" t="s">
        <v>521</v>
      </c>
      <c r="B657" s="20" t="s">
        <v>85</v>
      </c>
      <c r="C657" s="20" t="s">
        <v>86</v>
      </c>
      <c r="D657" s="20" t="s">
        <v>814</v>
      </c>
    </row>
    <row r="658" customFormat="false" ht="15" hidden="false" customHeight="false" outlineLevel="0" collapsed="false">
      <c r="A658" s="20" t="s">
        <v>521</v>
      </c>
      <c r="B658" s="20" t="s">
        <v>915</v>
      </c>
      <c r="C658" s="20" t="s">
        <v>916</v>
      </c>
      <c r="D658" s="20" t="s">
        <v>818</v>
      </c>
    </row>
    <row r="659" customFormat="false" ht="15" hidden="false" customHeight="false" outlineLevel="0" collapsed="false">
      <c r="A659" s="20" t="s">
        <v>521</v>
      </c>
      <c r="B659" s="20" t="s">
        <v>855</v>
      </c>
      <c r="C659" s="20" t="s">
        <v>856</v>
      </c>
      <c r="D659" s="20" t="s">
        <v>818</v>
      </c>
    </row>
    <row r="660" customFormat="false" ht="15" hidden="false" customHeight="false" outlineLevel="0" collapsed="false">
      <c r="A660" s="20" t="s">
        <v>528</v>
      </c>
      <c r="B660" s="20" t="s">
        <v>987</v>
      </c>
      <c r="C660" s="20" t="s">
        <v>149</v>
      </c>
      <c r="D660" s="20" t="s">
        <v>814</v>
      </c>
    </row>
    <row r="661" customFormat="false" ht="15" hidden="false" customHeight="false" outlineLevel="0" collapsed="false">
      <c r="A661" s="20" t="s">
        <v>528</v>
      </c>
      <c r="B661" s="20" t="s">
        <v>217</v>
      </c>
      <c r="C661" s="20" t="s">
        <v>218</v>
      </c>
      <c r="D661" s="20" t="s">
        <v>814</v>
      </c>
    </row>
    <row r="662" customFormat="false" ht="15" hidden="false" customHeight="false" outlineLevel="0" collapsed="false">
      <c r="A662" s="20" t="s">
        <v>528</v>
      </c>
      <c r="B662" s="20" t="s">
        <v>857</v>
      </c>
      <c r="C662" s="20" t="s">
        <v>521</v>
      </c>
      <c r="D662" s="20" t="s">
        <v>814</v>
      </c>
    </row>
    <row r="663" customFormat="false" ht="15" hidden="false" customHeight="false" outlineLevel="0" collapsed="false">
      <c r="A663" s="20" t="s">
        <v>528</v>
      </c>
      <c r="B663" s="20" t="s">
        <v>859</v>
      </c>
      <c r="C663" s="20" t="s">
        <v>535</v>
      </c>
      <c r="D663" s="20" t="s">
        <v>814</v>
      </c>
    </row>
    <row r="664" customFormat="false" ht="15" hidden="false" customHeight="false" outlineLevel="0" collapsed="false">
      <c r="A664" s="20" t="s">
        <v>528</v>
      </c>
      <c r="B664" s="20" t="s">
        <v>922</v>
      </c>
      <c r="C664" s="20" t="s">
        <v>489</v>
      </c>
      <c r="D664" s="20" t="s">
        <v>814</v>
      </c>
    </row>
    <row r="665" customFormat="false" ht="15" hidden="false" customHeight="false" outlineLevel="0" collapsed="false">
      <c r="A665" s="20" t="s">
        <v>528</v>
      </c>
      <c r="B665" s="20" t="s">
        <v>924</v>
      </c>
      <c r="C665" s="20" t="s">
        <v>563</v>
      </c>
      <c r="D665" s="20" t="s">
        <v>814</v>
      </c>
    </row>
    <row r="666" customFormat="false" ht="15" hidden="false" customHeight="false" outlineLevel="0" collapsed="false">
      <c r="A666" s="20" t="s">
        <v>528</v>
      </c>
      <c r="B666" s="20" t="s">
        <v>85</v>
      </c>
      <c r="C666" s="20" t="s">
        <v>86</v>
      </c>
      <c r="D666" s="20" t="s">
        <v>814</v>
      </c>
    </row>
    <row r="667" customFormat="false" ht="15" hidden="false" customHeight="false" outlineLevel="0" collapsed="false">
      <c r="A667" s="20" t="s">
        <v>528</v>
      </c>
      <c r="B667" s="20" t="s">
        <v>931</v>
      </c>
      <c r="C667" s="20" t="s">
        <v>932</v>
      </c>
      <c r="D667" s="20" t="s">
        <v>818</v>
      </c>
    </row>
    <row r="668" customFormat="false" ht="15" hidden="false" customHeight="false" outlineLevel="0" collapsed="false">
      <c r="A668" s="20" t="s">
        <v>528</v>
      </c>
      <c r="B668" s="20" t="s">
        <v>855</v>
      </c>
      <c r="C668" s="20" t="s">
        <v>856</v>
      </c>
      <c r="D668" s="20" t="s">
        <v>818</v>
      </c>
    </row>
    <row r="669" customFormat="false" ht="15" hidden="false" customHeight="false" outlineLevel="0" collapsed="false">
      <c r="A669" s="20" t="s">
        <v>535</v>
      </c>
      <c r="B669" s="20" t="s">
        <v>987</v>
      </c>
      <c r="C669" s="20" t="s">
        <v>149</v>
      </c>
      <c r="D669" s="20" t="s">
        <v>814</v>
      </c>
    </row>
    <row r="670" customFormat="false" ht="15" hidden="false" customHeight="false" outlineLevel="0" collapsed="false">
      <c r="A670" s="20" t="s">
        <v>535</v>
      </c>
      <c r="B670" s="20" t="s">
        <v>226</v>
      </c>
      <c r="C670" s="20" t="s">
        <v>227</v>
      </c>
      <c r="D670" s="20" t="s">
        <v>814</v>
      </c>
    </row>
    <row r="671" customFormat="false" ht="15" hidden="false" customHeight="false" outlineLevel="0" collapsed="false">
      <c r="A671" s="20" t="s">
        <v>535</v>
      </c>
      <c r="B671" s="20" t="s">
        <v>860</v>
      </c>
      <c r="C671" s="20" t="s">
        <v>542</v>
      </c>
      <c r="D671" s="20" t="s">
        <v>814</v>
      </c>
    </row>
    <row r="672" customFormat="false" ht="15" hidden="false" customHeight="false" outlineLevel="0" collapsed="false">
      <c r="A672" s="20" t="s">
        <v>535</v>
      </c>
      <c r="B672" s="20" t="s">
        <v>861</v>
      </c>
      <c r="C672" s="20" t="s">
        <v>549</v>
      </c>
      <c r="D672" s="20" t="s">
        <v>814</v>
      </c>
    </row>
    <row r="673" customFormat="false" ht="15" hidden="false" customHeight="false" outlineLevel="0" collapsed="false">
      <c r="A673" s="20" t="s">
        <v>535</v>
      </c>
      <c r="B673" s="20" t="s">
        <v>938</v>
      </c>
      <c r="C673" s="20" t="s">
        <v>497</v>
      </c>
      <c r="D673" s="20" t="s">
        <v>814</v>
      </c>
    </row>
    <row r="674" customFormat="false" ht="15" hidden="false" customHeight="false" outlineLevel="0" collapsed="false">
      <c r="A674" s="20" t="s">
        <v>535</v>
      </c>
      <c r="B674" s="20" t="s">
        <v>940</v>
      </c>
      <c r="C674" s="20" t="s">
        <v>570</v>
      </c>
      <c r="D674" s="20" t="s">
        <v>814</v>
      </c>
    </row>
    <row r="675" customFormat="false" ht="15" hidden="false" customHeight="false" outlineLevel="0" collapsed="false">
      <c r="A675" s="20" t="s">
        <v>535</v>
      </c>
      <c r="B675" s="20" t="s">
        <v>85</v>
      </c>
      <c r="C675" s="20" t="s">
        <v>86</v>
      </c>
      <c r="D675" s="20" t="s">
        <v>814</v>
      </c>
    </row>
    <row r="676" customFormat="false" ht="15" hidden="false" customHeight="false" outlineLevel="0" collapsed="false">
      <c r="A676" s="20" t="s">
        <v>535</v>
      </c>
      <c r="B676" s="20" t="s">
        <v>947</v>
      </c>
      <c r="C676" s="20" t="s">
        <v>948</v>
      </c>
      <c r="D676" s="20" t="s">
        <v>818</v>
      </c>
    </row>
    <row r="677" customFormat="false" ht="15" hidden="false" customHeight="false" outlineLevel="0" collapsed="false">
      <c r="A677" s="20" t="s">
        <v>535</v>
      </c>
      <c r="B677" s="20" t="s">
        <v>855</v>
      </c>
      <c r="C677" s="20" t="s">
        <v>856</v>
      </c>
      <c r="D677" s="20" t="s">
        <v>818</v>
      </c>
    </row>
    <row r="678" customFormat="false" ht="15" hidden="false" customHeight="false" outlineLevel="0" collapsed="false">
      <c r="A678" s="20" t="s">
        <v>542</v>
      </c>
      <c r="B678" s="20" t="s">
        <v>987</v>
      </c>
      <c r="C678" s="20" t="s">
        <v>149</v>
      </c>
      <c r="D678" s="20" t="s">
        <v>814</v>
      </c>
    </row>
    <row r="679" customFormat="false" ht="15" hidden="false" customHeight="false" outlineLevel="0" collapsed="false">
      <c r="A679" s="20" t="s">
        <v>542</v>
      </c>
      <c r="B679" s="20" t="s">
        <v>235</v>
      </c>
      <c r="C679" s="20" t="s">
        <v>236</v>
      </c>
      <c r="D679" s="20" t="s">
        <v>814</v>
      </c>
    </row>
    <row r="680" customFormat="false" ht="15" hidden="false" customHeight="false" outlineLevel="0" collapsed="false">
      <c r="A680" s="20" t="s">
        <v>542</v>
      </c>
      <c r="B680" s="20" t="s">
        <v>859</v>
      </c>
      <c r="C680" s="20" t="s">
        <v>535</v>
      </c>
      <c r="D680" s="20" t="s">
        <v>814</v>
      </c>
    </row>
    <row r="681" customFormat="false" ht="15" hidden="false" customHeight="false" outlineLevel="0" collapsed="false">
      <c r="A681" s="20" t="s">
        <v>542</v>
      </c>
      <c r="B681" s="20" t="s">
        <v>954</v>
      </c>
      <c r="C681" s="20" t="s">
        <v>505</v>
      </c>
      <c r="D681" s="20" t="s">
        <v>814</v>
      </c>
    </row>
    <row r="682" customFormat="false" ht="15" hidden="false" customHeight="false" outlineLevel="0" collapsed="false">
      <c r="A682" s="20" t="s">
        <v>542</v>
      </c>
      <c r="B682" s="20" t="s">
        <v>956</v>
      </c>
      <c r="C682" s="20" t="s">
        <v>577</v>
      </c>
      <c r="D682" s="20" t="s">
        <v>814</v>
      </c>
    </row>
    <row r="683" customFormat="false" ht="15" hidden="false" customHeight="false" outlineLevel="0" collapsed="false">
      <c r="A683" s="20" t="s">
        <v>542</v>
      </c>
      <c r="B683" s="20" t="s">
        <v>85</v>
      </c>
      <c r="C683" s="20" t="s">
        <v>86</v>
      </c>
      <c r="D683" s="20" t="s">
        <v>814</v>
      </c>
    </row>
    <row r="684" customFormat="false" ht="15" hidden="false" customHeight="false" outlineLevel="0" collapsed="false">
      <c r="A684" s="20" t="s">
        <v>542</v>
      </c>
      <c r="B684" s="20" t="s">
        <v>963</v>
      </c>
      <c r="C684" s="20" t="s">
        <v>964</v>
      </c>
      <c r="D684" s="20" t="s">
        <v>818</v>
      </c>
    </row>
    <row r="685" customFormat="false" ht="15" hidden="false" customHeight="false" outlineLevel="0" collapsed="false">
      <c r="A685" s="20" t="s">
        <v>542</v>
      </c>
      <c r="B685" s="20" t="s">
        <v>855</v>
      </c>
      <c r="C685" s="20" t="s">
        <v>856</v>
      </c>
      <c r="D685" s="20" t="s">
        <v>818</v>
      </c>
    </row>
    <row r="686" customFormat="false" ht="15" hidden="false" customHeight="false" outlineLevel="0" collapsed="false">
      <c r="A686" s="20" t="s">
        <v>549</v>
      </c>
      <c r="B686" s="20" t="s">
        <v>987</v>
      </c>
      <c r="C686" s="20" t="s">
        <v>149</v>
      </c>
      <c r="D686" s="20" t="s">
        <v>814</v>
      </c>
    </row>
    <row r="687" customFormat="false" ht="15" hidden="false" customHeight="false" outlineLevel="0" collapsed="false">
      <c r="A687" s="20" t="s">
        <v>549</v>
      </c>
      <c r="B687" s="20" t="s">
        <v>244</v>
      </c>
      <c r="C687" s="20" t="s">
        <v>245</v>
      </c>
      <c r="D687" s="20" t="s">
        <v>814</v>
      </c>
    </row>
    <row r="688" customFormat="false" ht="15" hidden="false" customHeight="false" outlineLevel="0" collapsed="false">
      <c r="A688" s="20" t="s">
        <v>549</v>
      </c>
      <c r="B688" s="20" t="s">
        <v>859</v>
      </c>
      <c r="C688" s="20" t="s">
        <v>535</v>
      </c>
      <c r="D688" s="20" t="s">
        <v>814</v>
      </c>
    </row>
    <row r="689" customFormat="false" ht="15" hidden="false" customHeight="false" outlineLevel="0" collapsed="false">
      <c r="A689" s="20" t="s">
        <v>549</v>
      </c>
      <c r="B689" s="20" t="s">
        <v>970</v>
      </c>
      <c r="C689" s="20" t="s">
        <v>513</v>
      </c>
      <c r="D689" s="20" t="s">
        <v>814</v>
      </c>
    </row>
    <row r="690" customFormat="false" ht="15" hidden="false" customHeight="false" outlineLevel="0" collapsed="false">
      <c r="A690" s="20" t="s">
        <v>549</v>
      </c>
      <c r="B690" s="20" t="s">
        <v>972</v>
      </c>
      <c r="C690" s="20" t="s">
        <v>584</v>
      </c>
      <c r="D690" s="20" t="s">
        <v>814</v>
      </c>
    </row>
    <row r="691" customFormat="false" ht="15" hidden="false" customHeight="false" outlineLevel="0" collapsed="false">
      <c r="A691" s="20" t="s">
        <v>549</v>
      </c>
      <c r="B691" s="20" t="s">
        <v>85</v>
      </c>
      <c r="C691" s="20" t="s">
        <v>86</v>
      </c>
      <c r="D691" s="20" t="s">
        <v>814</v>
      </c>
    </row>
    <row r="692" customFormat="false" ht="15" hidden="false" customHeight="false" outlineLevel="0" collapsed="false">
      <c r="A692" s="20" t="s">
        <v>549</v>
      </c>
      <c r="B692" s="20" t="s">
        <v>979</v>
      </c>
      <c r="C692" s="20" t="s">
        <v>980</v>
      </c>
      <c r="D692" s="20" t="s">
        <v>818</v>
      </c>
    </row>
    <row r="693" customFormat="false" ht="15" hidden="false" customHeight="false" outlineLevel="0" collapsed="false">
      <c r="A693" s="20" t="s">
        <v>549</v>
      </c>
      <c r="B693" s="20" t="s">
        <v>855</v>
      </c>
      <c r="C693" s="20" t="s">
        <v>856</v>
      </c>
      <c r="D693" s="20" t="s">
        <v>818</v>
      </c>
    </row>
    <row r="694" customFormat="false" ht="15" hidden="false" customHeight="false" outlineLevel="0" collapsed="false">
      <c r="A694" s="20" t="s">
        <v>556</v>
      </c>
      <c r="B694" s="20" t="s">
        <v>988</v>
      </c>
      <c r="C694" s="20" t="s">
        <v>156</v>
      </c>
      <c r="D694" s="20" t="s">
        <v>814</v>
      </c>
    </row>
    <row r="695" customFormat="false" ht="15" hidden="false" customHeight="false" outlineLevel="0" collapsed="false">
      <c r="A695" s="20" t="s">
        <v>556</v>
      </c>
      <c r="B695" s="20" t="s">
        <v>207</v>
      </c>
      <c r="C695" s="20" t="s">
        <v>208</v>
      </c>
      <c r="D695" s="20" t="s">
        <v>814</v>
      </c>
    </row>
    <row r="696" customFormat="false" ht="15" hidden="false" customHeight="false" outlineLevel="0" collapsed="false">
      <c r="A696" s="20" t="s">
        <v>556</v>
      </c>
      <c r="B696" s="20" t="s">
        <v>863</v>
      </c>
      <c r="C696" s="20" t="s">
        <v>563</v>
      </c>
      <c r="D696" s="20" t="s">
        <v>814</v>
      </c>
    </row>
    <row r="697" customFormat="false" ht="15" hidden="false" customHeight="false" outlineLevel="0" collapsed="false">
      <c r="A697" s="20" t="s">
        <v>556</v>
      </c>
      <c r="B697" s="20" t="s">
        <v>907</v>
      </c>
      <c r="C697" s="20" t="s">
        <v>521</v>
      </c>
      <c r="D697" s="20" t="s">
        <v>814</v>
      </c>
    </row>
    <row r="698" customFormat="false" ht="15" hidden="false" customHeight="false" outlineLevel="0" collapsed="false">
      <c r="A698" s="20" t="s">
        <v>556</v>
      </c>
      <c r="B698" s="20" t="s">
        <v>906</v>
      </c>
      <c r="C698" s="20" t="s">
        <v>481</v>
      </c>
      <c r="D698" s="20" t="s">
        <v>814</v>
      </c>
    </row>
    <row r="699" customFormat="false" ht="15" hidden="false" customHeight="false" outlineLevel="0" collapsed="false">
      <c r="A699" s="20" t="s">
        <v>556</v>
      </c>
      <c r="B699" s="20" t="s">
        <v>85</v>
      </c>
      <c r="C699" s="20" t="s">
        <v>86</v>
      </c>
      <c r="D699" s="20" t="s">
        <v>814</v>
      </c>
    </row>
    <row r="700" customFormat="false" ht="15" hidden="false" customHeight="false" outlineLevel="0" collapsed="false">
      <c r="A700" s="20" t="s">
        <v>556</v>
      </c>
      <c r="B700" s="20" t="s">
        <v>915</v>
      </c>
      <c r="C700" s="20" t="s">
        <v>916</v>
      </c>
      <c r="D700" s="20" t="s">
        <v>818</v>
      </c>
    </row>
    <row r="701" customFormat="false" ht="15" hidden="false" customHeight="false" outlineLevel="0" collapsed="false">
      <c r="A701" s="20" t="s">
        <v>556</v>
      </c>
      <c r="B701" s="20" t="s">
        <v>855</v>
      </c>
      <c r="C701" s="20" t="s">
        <v>856</v>
      </c>
      <c r="D701" s="20" t="s">
        <v>818</v>
      </c>
    </row>
    <row r="702" customFormat="false" ht="15" hidden="false" customHeight="false" outlineLevel="0" collapsed="false">
      <c r="A702" s="20" t="s">
        <v>563</v>
      </c>
      <c r="B702" s="20" t="s">
        <v>988</v>
      </c>
      <c r="C702" s="20" t="s">
        <v>156</v>
      </c>
      <c r="D702" s="20" t="s">
        <v>814</v>
      </c>
    </row>
    <row r="703" customFormat="false" ht="15" hidden="false" customHeight="false" outlineLevel="0" collapsed="false">
      <c r="A703" s="20" t="s">
        <v>563</v>
      </c>
      <c r="B703" s="20" t="s">
        <v>217</v>
      </c>
      <c r="C703" s="20" t="s">
        <v>218</v>
      </c>
      <c r="D703" s="20" t="s">
        <v>814</v>
      </c>
    </row>
    <row r="704" customFormat="false" ht="15" hidden="false" customHeight="false" outlineLevel="0" collapsed="false">
      <c r="A704" s="20" t="s">
        <v>563</v>
      </c>
      <c r="B704" s="20" t="s">
        <v>862</v>
      </c>
      <c r="C704" s="20" t="s">
        <v>556</v>
      </c>
      <c r="D704" s="20" t="s">
        <v>814</v>
      </c>
    </row>
    <row r="705" customFormat="false" ht="15" hidden="false" customHeight="false" outlineLevel="0" collapsed="false">
      <c r="A705" s="20" t="s">
        <v>563</v>
      </c>
      <c r="B705" s="20" t="s">
        <v>864</v>
      </c>
      <c r="C705" s="20" t="s">
        <v>570</v>
      </c>
      <c r="D705" s="20" t="s">
        <v>814</v>
      </c>
    </row>
    <row r="706" customFormat="false" ht="15" hidden="false" customHeight="false" outlineLevel="0" collapsed="false">
      <c r="A706" s="20" t="s">
        <v>563</v>
      </c>
      <c r="B706" s="20" t="s">
        <v>923</v>
      </c>
      <c r="C706" s="20" t="s">
        <v>528</v>
      </c>
      <c r="D706" s="20" t="s">
        <v>814</v>
      </c>
    </row>
    <row r="707" customFormat="false" ht="15" hidden="false" customHeight="false" outlineLevel="0" collapsed="false">
      <c r="A707" s="20" t="s">
        <v>563</v>
      </c>
      <c r="B707" s="20" t="s">
        <v>922</v>
      </c>
      <c r="C707" s="20" t="s">
        <v>489</v>
      </c>
      <c r="D707" s="20" t="s">
        <v>814</v>
      </c>
    </row>
    <row r="708" customFormat="false" ht="15" hidden="false" customHeight="false" outlineLevel="0" collapsed="false">
      <c r="A708" s="20" t="s">
        <v>563</v>
      </c>
      <c r="B708" s="20" t="s">
        <v>85</v>
      </c>
      <c r="C708" s="20" t="s">
        <v>86</v>
      </c>
      <c r="D708" s="20" t="s">
        <v>814</v>
      </c>
    </row>
    <row r="709" customFormat="false" ht="15" hidden="false" customHeight="false" outlineLevel="0" collapsed="false">
      <c r="A709" s="20" t="s">
        <v>563</v>
      </c>
      <c r="B709" s="20" t="s">
        <v>931</v>
      </c>
      <c r="C709" s="20" t="s">
        <v>932</v>
      </c>
      <c r="D709" s="20" t="s">
        <v>818</v>
      </c>
    </row>
    <row r="710" customFormat="false" ht="15" hidden="false" customHeight="false" outlineLevel="0" collapsed="false">
      <c r="A710" s="20" t="s">
        <v>563</v>
      </c>
      <c r="B710" s="20" t="s">
        <v>855</v>
      </c>
      <c r="C710" s="20" t="s">
        <v>856</v>
      </c>
      <c r="D710" s="20" t="s">
        <v>818</v>
      </c>
    </row>
    <row r="711" customFormat="false" ht="15" hidden="false" customHeight="false" outlineLevel="0" collapsed="false">
      <c r="A711" s="20" t="s">
        <v>570</v>
      </c>
      <c r="B711" s="20" t="s">
        <v>988</v>
      </c>
      <c r="C711" s="20" t="s">
        <v>156</v>
      </c>
      <c r="D711" s="20" t="s">
        <v>814</v>
      </c>
    </row>
    <row r="712" customFormat="false" ht="15" hidden="false" customHeight="false" outlineLevel="0" collapsed="false">
      <c r="A712" s="20" t="s">
        <v>570</v>
      </c>
      <c r="B712" s="20" t="s">
        <v>226</v>
      </c>
      <c r="C712" s="20" t="s">
        <v>227</v>
      </c>
      <c r="D712" s="20" t="s">
        <v>814</v>
      </c>
    </row>
    <row r="713" customFormat="false" ht="15" hidden="false" customHeight="false" outlineLevel="0" collapsed="false">
      <c r="A713" s="20" t="s">
        <v>570</v>
      </c>
      <c r="B713" s="20" t="s">
        <v>865</v>
      </c>
      <c r="C713" s="20" t="s">
        <v>577</v>
      </c>
      <c r="D713" s="20" t="s">
        <v>814</v>
      </c>
    </row>
    <row r="714" customFormat="false" ht="15" hidden="false" customHeight="false" outlineLevel="0" collapsed="false">
      <c r="A714" s="20" t="s">
        <v>570</v>
      </c>
      <c r="B714" s="20" t="s">
        <v>866</v>
      </c>
      <c r="C714" s="20" t="s">
        <v>584</v>
      </c>
      <c r="D714" s="20" t="s">
        <v>814</v>
      </c>
    </row>
    <row r="715" customFormat="false" ht="15" hidden="false" customHeight="false" outlineLevel="0" collapsed="false">
      <c r="A715" s="20" t="s">
        <v>570</v>
      </c>
      <c r="B715" s="20" t="s">
        <v>939</v>
      </c>
      <c r="C715" s="20" t="s">
        <v>535</v>
      </c>
      <c r="D715" s="20" t="s">
        <v>814</v>
      </c>
    </row>
    <row r="716" customFormat="false" ht="15" hidden="false" customHeight="false" outlineLevel="0" collapsed="false">
      <c r="A716" s="20" t="s">
        <v>570</v>
      </c>
      <c r="B716" s="20" t="s">
        <v>938</v>
      </c>
      <c r="C716" s="20" t="s">
        <v>497</v>
      </c>
      <c r="D716" s="20" t="s">
        <v>814</v>
      </c>
    </row>
    <row r="717" customFormat="false" ht="15" hidden="false" customHeight="false" outlineLevel="0" collapsed="false">
      <c r="A717" s="20" t="s">
        <v>570</v>
      </c>
      <c r="B717" s="20" t="s">
        <v>85</v>
      </c>
      <c r="C717" s="20" t="s">
        <v>86</v>
      </c>
      <c r="D717" s="20" t="s">
        <v>814</v>
      </c>
    </row>
    <row r="718" customFormat="false" ht="15" hidden="false" customHeight="false" outlineLevel="0" collapsed="false">
      <c r="A718" s="20" t="s">
        <v>570</v>
      </c>
      <c r="B718" s="20" t="s">
        <v>947</v>
      </c>
      <c r="C718" s="20" t="s">
        <v>948</v>
      </c>
      <c r="D718" s="20" t="s">
        <v>818</v>
      </c>
    </row>
    <row r="719" customFormat="false" ht="15" hidden="false" customHeight="false" outlineLevel="0" collapsed="false">
      <c r="A719" s="20" t="s">
        <v>570</v>
      </c>
      <c r="B719" s="20" t="s">
        <v>855</v>
      </c>
      <c r="C719" s="20" t="s">
        <v>856</v>
      </c>
      <c r="D719" s="20" t="s">
        <v>818</v>
      </c>
    </row>
    <row r="720" customFormat="false" ht="15" hidden="false" customHeight="false" outlineLevel="0" collapsed="false">
      <c r="A720" s="20" t="s">
        <v>577</v>
      </c>
      <c r="B720" s="20" t="s">
        <v>988</v>
      </c>
      <c r="C720" s="20" t="s">
        <v>156</v>
      </c>
      <c r="D720" s="20" t="s">
        <v>814</v>
      </c>
    </row>
    <row r="721" customFormat="false" ht="15" hidden="false" customHeight="false" outlineLevel="0" collapsed="false">
      <c r="A721" s="20" t="s">
        <v>577</v>
      </c>
      <c r="B721" s="20" t="s">
        <v>235</v>
      </c>
      <c r="C721" s="20" t="s">
        <v>236</v>
      </c>
      <c r="D721" s="20" t="s">
        <v>814</v>
      </c>
    </row>
    <row r="722" customFormat="false" ht="15" hidden="false" customHeight="false" outlineLevel="0" collapsed="false">
      <c r="A722" s="20" t="s">
        <v>577</v>
      </c>
      <c r="B722" s="20" t="s">
        <v>864</v>
      </c>
      <c r="C722" s="20" t="s">
        <v>570</v>
      </c>
      <c r="D722" s="20" t="s">
        <v>814</v>
      </c>
    </row>
    <row r="723" customFormat="false" ht="15" hidden="false" customHeight="false" outlineLevel="0" collapsed="false">
      <c r="A723" s="20" t="s">
        <v>577</v>
      </c>
      <c r="B723" s="20" t="s">
        <v>955</v>
      </c>
      <c r="C723" s="20" t="s">
        <v>542</v>
      </c>
      <c r="D723" s="20" t="s">
        <v>814</v>
      </c>
    </row>
    <row r="724" customFormat="false" ht="15" hidden="false" customHeight="false" outlineLevel="0" collapsed="false">
      <c r="A724" s="20" t="s">
        <v>577</v>
      </c>
      <c r="B724" s="20" t="s">
        <v>954</v>
      </c>
      <c r="C724" s="20" t="s">
        <v>505</v>
      </c>
      <c r="D724" s="20" t="s">
        <v>814</v>
      </c>
    </row>
    <row r="725" customFormat="false" ht="15" hidden="false" customHeight="false" outlineLevel="0" collapsed="false">
      <c r="A725" s="20" t="s">
        <v>577</v>
      </c>
      <c r="B725" s="20" t="s">
        <v>85</v>
      </c>
      <c r="C725" s="20" t="s">
        <v>86</v>
      </c>
      <c r="D725" s="20" t="s">
        <v>814</v>
      </c>
    </row>
    <row r="726" customFormat="false" ht="15" hidden="false" customHeight="false" outlineLevel="0" collapsed="false">
      <c r="A726" s="20" t="s">
        <v>577</v>
      </c>
      <c r="B726" s="20" t="s">
        <v>963</v>
      </c>
      <c r="C726" s="20" t="s">
        <v>964</v>
      </c>
      <c r="D726" s="20" t="s">
        <v>818</v>
      </c>
    </row>
    <row r="727" customFormat="false" ht="15" hidden="false" customHeight="false" outlineLevel="0" collapsed="false">
      <c r="A727" s="20" t="s">
        <v>577</v>
      </c>
      <c r="B727" s="20" t="s">
        <v>855</v>
      </c>
      <c r="C727" s="20" t="s">
        <v>856</v>
      </c>
      <c r="D727" s="20" t="s">
        <v>818</v>
      </c>
    </row>
    <row r="728" customFormat="false" ht="15" hidden="false" customHeight="false" outlineLevel="0" collapsed="false">
      <c r="A728" s="20" t="s">
        <v>584</v>
      </c>
      <c r="B728" s="20" t="s">
        <v>988</v>
      </c>
      <c r="C728" s="20" t="s">
        <v>156</v>
      </c>
      <c r="D728" s="20" t="s">
        <v>814</v>
      </c>
    </row>
    <row r="729" customFormat="false" ht="15" hidden="false" customHeight="false" outlineLevel="0" collapsed="false">
      <c r="A729" s="20" t="s">
        <v>584</v>
      </c>
      <c r="B729" s="20" t="s">
        <v>244</v>
      </c>
      <c r="C729" s="20" t="s">
        <v>245</v>
      </c>
      <c r="D729" s="20" t="s">
        <v>814</v>
      </c>
    </row>
    <row r="730" customFormat="false" ht="15" hidden="false" customHeight="false" outlineLevel="0" collapsed="false">
      <c r="A730" s="20" t="s">
        <v>584</v>
      </c>
      <c r="B730" s="20" t="s">
        <v>864</v>
      </c>
      <c r="C730" s="20" t="s">
        <v>570</v>
      </c>
      <c r="D730" s="20" t="s">
        <v>814</v>
      </c>
    </row>
    <row r="731" customFormat="false" ht="15" hidden="false" customHeight="false" outlineLevel="0" collapsed="false">
      <c r="A731" s="20" t="s">
        <v>584</v>
      </c>
      <c r="B731" s="20" t="s">
        <v>971</v>
      </c>
      <c r="C731" s="20" t="s">
        <v>549</v>
      </c>
      <c r="D731" s="20" t="s">
        <v>814</v>
      </c>
    </row>
    <row r="732" customFormat="false" ht="15" hidden="false" customHeight="false" outlineLevel="0" collapsed="false">
      <c r="A732" s="20" t="s">
        <v>584</v>
      </c>
      <c r="B732" s="20" t="s">
        <v>970</v>
      </c>
      <c r="C732" s="20" t="s">
        <v>513</v>
      </c>
      <c r="D732" s="20" t="s">
        <v>814</v>
      </c>
    </row>
    <row r="733" customFormat="false" ht="15" hidden="false" customHeight="false" outlineLevel="0" collapsed="false">
      <c r="A733" s="20" t="s">
        <v>584</v>
      </c>
      <c r="B733" s="20" t="s">
        <v>85</v>
      </c>
      <c r="C733" s="20" t="s">
        <v>86</v>
      </c>
      <c r="D733" s="20" t="s">
        <v>814</v>
      </c>
    </row>
    <row r="734" customFormat="false" ht="15" hidden="false" customHeight="false" outlineLevel="0" collapsed="false">
      <c r="A734" s="20" t="s">
        <v>584</v>
      </c>
      <c r="B734" s="20" t="s">
        <v>979</v>
      </c>
      <c r="C734" s="20" t="s">
        <v>980</v>
      </c>
      <c r="D734" s="20" t="s">
        <v>818</v>
      </c>
    </row>
    <row r="735" customFormat="false" ht="15" hidden="false" customHeight="false" outlineLevel="0" collapsed="false">
      <c r="A735" s="20" t="s">
        <v>584</v>
      </c>
      <c r="B735" s="20" t="s">
        <v>855</v>
      </c>
      <c r="C735" s="20" t="s">
        <v>856</v>
      </c>
      <c r="D735" s="20" t="s">
        <v>818</v>
      </c>
    </row>
    <row r="736" customFormat="false" ht="15" hidden="false" customHeight="false" outlineLevel="0" collapsed="false">
      <c r="A736" s="20" t="s">
        <v>591</v>
      </c>
      <c r="B736" s="20" t="s">
        <v>989</v>
      </c>
      <c r="C736" s="20" t="s">
        <v>163</v>
      </c>
      <c r="D736" s="20" t="s">
        <v>814</v>
      </c>
    </row>
    <row r="737" customFormat="false" ht="15" hidden="false" customHeight="false" outlineLevel="0" collapsed="false">
      <c r="A737" s="20" t="s">
        <v>591</v>
      </c>
      <c r="B737" s="20" t="s">
        <v>207</v>
      </c>
      <c r="C737" s="20" t="s">
        <v>208</v>
      </c>
      <c r="D737" s="20" t="s">
        <v>814</v>
      </c>
    </row>
    <row r="738" customFormat="false" ht="15" hidden="false" customHeight="false" outlineLevel="0" collapsed="false">
      <c r="A738" s="20" t="s">
        <v>591</v>
      </c>
      <c r="B738" s="20" t="s">
        <v>868</v>
      </c>
      <c r="C738" s="20" t="s">
        <v>598</v>
      </c>
      <c r="D738" s="20" t="s">
        <v>814</v>
      </c>
    </row>
    <row r="739" customFormat="false" ht="15" hidden="false" customHeight="false" outlineLevel="0" collapsed="false">
      <c r="A739" s="20" t="s">
        <v>591</v>
      </c>
      <c r="B739" s="20" t="s">
        <v>906</v>
      </c>
      <c r="C739" s="20" t="s">
        <v>481</v>
      </c>
      <c r="D739" s="20" t="s">
        <v>814</v>
      </c>
    </row>
    <row r="740" customFormat="false" ht="15" hidden="false" customHeight="false" outlineLevel="0" collapsed="false">
      <c r="A740" s="20" t="s">
        <v>591</v>
      </c>
      <c r="B740" s="20" t="s">
        <v>908</v>
      </c>
      <c r="C740" s="20" t="s">
        <v>556</v>
      </c>
      <c r="D740" s="20" t="s">
        <v>814</v>
      </c>
    </row>
    <row r="741" customFormat="false" ht="15" hidden="false" customHeight="false" outlineLevel="0" collapsed="false">
      <c r="A741" s="20" t="s">
        <v>591</v>
      </c>
      <c r="B741" s="20" t="s">
        <v>85</v>
      </c>
      <c r="C741" s="20" t="s">
        <v>86</v>
      </c>
      <c r="D741" s="20" t="s">
        <v>814</v>
      </c>
    </row>
    <row r="742" customFormat="false" ht="15" hidden="false" customHeight="false" outlineLevel="0" collapsed="false">
      <c r="A742" s="20" t="s">
        <v>591</v>
      </c>
      <c r="B742" s="20" t="s">
        <v>915</v>
      </c>
      <c r="C742" s="20" t="s">
        <v>916</v>
      </c>
      <c r="D742" s="20" t="s">
        <v>818</v>
      </c>
    </row>
    <row r="743" customFormat="false" ht="15" hidden="false" customHeight="false" outlineLevel="0" collapsed="false">
      <c r="A743" s="20" t="s">
        <v>591</v>
      </c>
      <c r="B743" s="20" t="s">
        <v>855</v>
      </c>
      <c r="C743" s="20" t="s">
        <v>856</v>
      </c>
      <c r="D743" s="20" t="s">
        <v>818</v>
      </c>
    </row>
    <row r="744" customFormat="false" ht="15" hidden="false" customHeight="false" outlineLevel="0" collapsed="false">
      <c r="A744" s="20" t="s">
        <v>598</v>
      </c>
      <c r="B744" s="20" t="s">
        <v>989</v>
      </c>
      <c r="C744" s="20" t="s">
        <v>163</v>
      </c>
      <c r="D744" s="20" t="s">
        <v>814</v>
      </c>
    </row>
    <row r="745" customFormat="false" ht="15" hidden="false" customHeight="false" outlineLevel="0" collapsed="false">
      <c r="A745" s="20" t="s">
        <v>598</v>
      </c>
      <c r="B745" s="20" t="s">
        <v>217</v>
      </c>
      <c r="C745" s="20" t="s">
        <v>218</v>
      </c>
      <c r="D745" s="20" t="s">
        <v>814</v>
      </c>
    </row>
    <row r="746" customFormat="false" ht="15" hidden="false" customHeight="false" outlineLevel="0" collapsed="false">
      <c r="A746" s="20" t="s">
        <v>598</v>
      </c>
      <c r="B746" s="20" t="s">
        <v>867</v>
      </c>
      <c r="C746" s="20" t="s">
        <v>591</v>
      </c>
      <c r="D746" s="20" t="s">
        <v>814</v>
      </c>
    </row>
    <row r="747" customFormat="false" ht="15" hidden="false" customHeight="false" outlineLevel="0" collapsed="false">
      <c r="A747" s="20" t="s">
        <v>598</v>
      </c>
      <c r="B747" s="20" t="s">
        <v>869</v>
      </c>
      <c r="C747" s="20" t="s">
        <v>605</v>
      </c>
      <c r="D747" s="20" t="s">
        <v>814</v>
      </c>
    </row>
    <row r="748" customFormat="false" ht="15" hidden="false" customHeight="false" outlineLevel="0" collapsed="false">
      <c r="A748" s="20" t="s">
        <v>598</v>
      </c>
      <c r="B748" s="20" t="s">
        <v>922</v>
      </c>
      <c r="C748" s="20" t="s">
        <v>489</v>
      </c>
      <c r="D748" s="20" t="s">
        <v>814</v>
      </c>
    </row>
    <row r="749" customFormat="false" ht="15" hidden="false" customHeight="false" outlineLevel="0" collapsed="false">
      <c r="A749" s="20" t="s">
        <v>598</v>
      </c>
      <c r="B749" s="20" t="s">
        <v>924</v>
      </c>
      <c r="C749" s="20" t="s">
        <v>563</v>
      </c>
      <c r="D749" s="20" t="s">
        <v>814</v>
      </c>
    </row>
    <row r="750" customFormat="false" ht="15" hidden="false" customHeight="false" outlineLevel="0" collapsed="false">
      <c r="A750" s="20" t="s">
        <v>598</v>
      </c>
      <c r="B750" s="20" t="s">
        <v>85</v>
      </c>
      <c r="C750" s="20" t="s">
        <v>86</v>
      </c>
      <c r="D750" s="20" t="s">
        <v>814</v>
      </c>
    </row>
    <row r="751" customFormat="false" ht="15" hidden="false" customHeight="false" outlineLevel="0" collapsed="false">
      <c r="A751" s="20" t="s">
        <v>598</v>
      </c>
      <c r="B751" s="20" t="s">
        <v>931</v>
      </c>
      <c r="C751" s="20" t="s">
        <v>932</v>
      </c>
      <c r="D751" s="20" t="s">
        <v>818</v>
      </c>
    </row>
    <row r="752" customFormat="false" ht="15" hidden="false" customHeight="false" outlineLevel="0" collapsed="false">
      <c r="A752" s="20" t="s">
        <v>598</v>
      </c>
      <c r="B752" s="20" t="s">
        <v>855</v>
      </c>
      <c r="C752" s="20" t="s">
        <v>856</v>
      </c>
      <c r="D752" s="20" t="s">
        <v>818</v>
      </c>
    </row>
    <row r="753" customFormat="false" ht="15" hidden="false" customHeight="false" outlineLevel="0" collapsed="false">
      <c r="A753" s="20" t="s">
        <v>605</v>
      </c>
      <c r="B753" s="20" t="s">
        <v>989</v>
      </c>
      <c r="C753" s="20" t="s">
        <v>163</v>
      </c>
      <c r="D753" s="20" t="s">
        <v>814</v>
      </c>
    </row>
    <row r="754" customFormat="false" ht="15" hidden="false" customHeight="false" outlineLevel="0" collapsed="false">
      <c r="A754" s="20" t="s">
        <v>605</v>
      </c>
      <c r="B754" s="20" t="s">
        <v>226</v>
      </c>
      <c r="C754" s="20" t="s">
        <v>227</v>
      </c>
      <c r="D754" s="20" t="s">
        <v>814</v>
      </c>
    </row>
    <row r="755" customFormat="false" ht="15" hidden="false" customHeight="false" outlineLevel="0" collapsed="false">
      <c r="A755" s="20" t="s">
        <v>605</v>
      </c>
      <c r="B755" s="20" t="s">
        <v>870</v>
      </c>
      <c r="C755" s="20" t="s">
        <v>612</v>
      </c>
      <c r="D755" s="20" t="s">
        <v>814</v>
      </c>
    </row>
    <row r="756" customFormat="false" ht="15" hidden="false" customHeight="false" outlineLevel="0" collapsed="false">
      <c r="A756" s="20" t="s">
        <v>605</v>
      </c>
      <c r="B756" s="20" t="s">
        <v>871</v>
      </c>
      <c r="C756" s="20" t="s">
        <v>619</v>
      </c>
      <c r="D756" s="20" t="s">
        <v>814</v>
      </c>
    </row>
    <row r="757" customFormat="false" ht="15" hidden="false" customHeight="false" outlineLevel="0" collapsed="false">
      <c r="A757" s="20" t="s">
        <v>605</v>
      </c>
      <c r="B757" s="20" t="s">
        <v>938</v>
      </c>
      <c r="C757" s="20" t="s">
        <v>497</v>
      </c>
      <c r="D757" s="20" t="s">
        <v>814</v>
      </c>
    </row>
    <row r="758" customFormat="false" ht="15" hidden="false" customHeight="false" outlineLevel="0" collapsed="false">
      <c r="A758" s="20" t="s">
        <v>605</v>
      </c>
      <c r="B758" s="20" t="s">
        <v>940</v>
      </c>
      <c r="C758" s="20" t="s">
        <v>570</v>
      </c>
      <c r="D758" s="20" t="s">
        <v>814</v>
      </c>
    </row>
    <row r="759" customFormat="false" ht="15" hidden="false" customHeight="false" outlineLevel="0" collapsed="false">
      <c r="A759" s="20" t="s">
        <v>605</v>
      </c>
      <c r="B759" s="20" t="s">
        <v>85</v>
      </c>
      <c r="C759" s="20" t="s">
        <v>86</v>
      </c>
      <c r="D759" s="20" t="s">
        <v>814</v>
      </c>
    </row>
    <row r="760" customFormat="false" ht="15" hidden="false" customHeight="false" outlineLevel="0" collapsed="false">
      <c r="A760" s="20" t="s">
        <v>605</v>
      </c>
      <c r="B760" s="20" t="s">
        <v>947</v>
      </c>
      <c r="C760" s="20" t="s">
        <v>948</v>
      </c>
      <c r="D760" s="20" t="s">
        <v>818</v>
      </c>
    </row>
    <row r="761" customFormat="false" ht="15" hidden="false" customHeight="false" outlineLevel="0" collapsed="false">
      <c r="A761" s="20" t="s">
        <v>605</v>
      </c>
      <c r="B761" s="20" t="s">
        <v>855</v>
      </c>
      <c r="C761" s="20" t="s">
        <v>856</v>
      </c>
      <c r="D761" s="20" t="s">
        <v>818</v>
      </c>
    </row>
    <row r="762" customFormat="false" ht="15" hidden="false" customHeight="false" outlineLevel="0" collapsed="false">
      <c r="A762" s="20" t="s">
        <v>612</v>
      </c>
      <c r="B762" s="20" t="s">
        <v>989</v>
      </c>
      <c r="C762" s="20" t="s">
        <v>163</v>
      </c>
      <c r="D762" s="20" t="s">
        <v>814</v>
      </c>
    </row>
    <row r="763" customFormat="false" ht="15" hidden="false" customHeight="false" outlineLevel="0" collapsed="false">
      <c r="A763" s="20" t="s">
        <v>612</v>
      </c>
      <c r="B763" s="20" t="s">
        <v>235</v>
      </c>
      <c r="C763" s="20" t="s">
        <v>236</v>
      </c>
      <c r="D763" s="20" t="s">
        <v>814</v>
      </c>
    </row>
    <row r="764" customFormat="false" ht="15" hidden="false" customHeight="false" outlineLevel="0" collapsed="false">
      <c r="A764" s="20" t="s">
        <v>612</v>
      </c>
      <c r="B764" s="20" t="s">
        <v>869</v>
      </c>
      <c r="C764" s="20" t="s">
        <v>605</v>
      </c>
      <c r="D764" s="20" t="s">
        <v>814</v>
      </c>
    </row>
    <row r="765" customFormat="false" ht="15" hidden="false" customHeight="false" outlineLevel="0" collapsed="false">
      <c r="A765" s="20" t="s">
        <v>612</v>
      </c>
      <c r="B765" s="20" t="s">
        <v>954</v>
      </c>
      <c r="C765" s="20" t="s">
        <v>505</v>
      </c>
      <c r="D765" s="20" t="s">
        <v>814</v>
      </c>
    </row>
    <row r="766" customFormat="false" ht="15" hidden="false" customHeight="false" outlineLevel="0" collapsed="false">
      <c r="A766" s="20" t="s">
        <v>612</v>
      </c>
      <c r="B766" s="20" t="s">
        <v>956</v>
      </c>
      <c r="C766" s="20" t="s">
        <v>577</v>
      </c>
      <c r="D766" s="20" t="s">
        <v>814</v>
      </c>
    </row>
    <row r="767" customFormat="false" ht="15" hidden="false" customHeight="false" outlineLevel="0" collapsed="false">
      <c r="A767" s="20" t="s">
        <v>612</v>
      </c>
      <c r="B767" s="20" t="s">
        <v>85</v>
      </c>
      <c r="C767" s="20" t="s">
        <v>86</v>
      </c>
      <c r="D767" s="20" t="s">
        <v>814</v>
      </c>
    </row>
    <row r="768" customFormat="false" ht="15" hidden="false" customHeight="false" outlineLevel="0" collapsed="false">
      <c r="A768" s="20" t="s">
        <v>612</v>
      </c>
      <c r="B768" s="20" t="s">
        <v>963</v>
      </c>
      <c r="C768" s="20" t="s">
        <v>964</v>
      </c>
      <c r="D768" s="20" t="s">
        <v>818</v>
      </c>
    </row>
    <row r="769" customFormat="false" ht="15" hidden="false" customHeight="false" outlineLevel="0" collapsed="false">
      <c r="A769" s="20" t="s">
        <v>612</v>
      </c>
      <c r="B769" s="20" t="s">
        <v>855</v>
      </c>
      <c r="C769" s="20" t="s">
        <v>856</v>
      </c>
      <c r="D769" s="20" t="s">
        <v>818</v>
      </c>
    </row>
    <row r="770" customFormat="false" ht="15" hidden="false" customHeight="false" outlineLevel="0" collapsed="false">
      <c r="A770" s="20" t="s">
        <v>619</v>
      </c>
      <c r="B770" s="20" t="s">
        <v>989</v>
      </c>
      <c r="C770" s="20" t="s">
        <v>163</v>
      </c>
      <c r="D770" s="20" t="s">
        <v>814</v>
      </c>
    </row>
    <row r="771" customFormat="false" ht="15" hidden="false" customHeight="false" outlineLevel="0" collapsed="false">
      <c r="A771" s="20" t="s">
        <v>619</v>
      </c>
      <c r="B771" s="20" t="s">
        <v>244</v>
      </c>
      <c r="C771" s="20" t="s">
        <v>245</v>
      </c>
      <c r="D771" s="20" t="s">
        <v>814</v>
      </c>
    </row>
    <row r="772" customFormat="false" ht="15" hidden="false" customHeight="false" outlineLevel="0" collapsed="false">
      <c r="A772" s="20" t="s">
        <v>619</v>
      </c>
      <c r="B772" s="20" t="s">
        <v>869</v>
      </c>
      <c r="C772" s="20" t="s">
        <v>605</v>
      </c>
      <c r="D772" s="20" t="s">
        <v>814</v>
      </c>
    </row>
    <row r="773" customFormat="false" ht="15" hidden="false" customHeight="false" outlineLevel="0" collapsed="false">
      <c r="A773" s="20" t="s">
        <v>619</v>
      </c>
      <c r="B773" s="20" t="s">
        <v>970</v>
      </c>
      <c r="C773" s="20" t="s">
        <v>513</v>
      </c>
      <c r="D773" s="20" t="s">
        <v>814</v>
      </c>
    </row>
    <row r="774" customFormat="false" ht="15" hidden="false" customHeight="false" outlineLevel="0" collapsed="false">
      <c r="A774" s="20" t="s">
        <v>619</v>
      </c>
      <c r="B774" s="20" t="s">
        <v>972</v>
      </c>
      <c r="C774" s="20" t="s">
        <v>584</v>
      </c>
      <c r="D774" s="20" t="s">
        <v>814</v>
      </c>
    </row>
    <row r="775" customFormat="false" ht="15" hidden="false" customHeight="false" outlineLevel="0" collapsed="false">
      <c r="A775" s="20" t="s">
        <v>619</v>
      </c>
      <c r="B775" s="20" t="s">
        <v>85</v>
      </c>
      <c r="C775" s="20" t="s">
        <v>86</v>
      </c>
      <c r="D775" s="20" t="s">
        <v>814</v>
      </c>
    </row>
    <row r="776" customFormat="false" ht="15" hidden="false" customHeight="false" outlineLevel="0" collapsed="false">
      <c r="A776" s="20" t="s">
        <v>619</v>
      </c>
      <c r="B776" s="20" t="s">
        <v>979</v>
      </c>
      <c r="C776" s="20" t="s">
        <v>980</v>
      </c>
      <c r="D776" s="20" t="s">
        <v>818</v>
      </c>
    </row>
    <row r="777" customFormat="false" ht="15" hidden="false" customHeight="false" outlineLevel="0" collapsed="false">
      <c r="A777" s="20" t="s">
        <v>619</v>
      </c>
      <c r="B777" s="20" t="s">
        <v>855</v>
      </c>
      <c r="C777" s="20" t="s">
        <v>856</v>
      </c>
      <c r="D777" s="20" t="s">
        <v>818</v>
      </c>
    </row>
    <row r="778" customFormat="false" ht="15" hidden="false" customHeight="false" outlineLevel="0" collapsed="false">
      <c r="A778" s="20" t="s">
        <v>626</v>
      </c>
      <c r="B778" s="20" t="s">
        <v>990</v>
      </c>
      <c r="C778" s="20" t="s">
        <v>170</v>
      </c>
      <c r="D778" s="20" t="s">
        <v>814</v>
      </c>
    </row>
    <row r="779" customFormat="false" ht="15" hidden="false" customHeight="false" outlineLevel="0" collapsed="false">
      <c r="A779" s="20" t="s">
        <v>626</v>
      </c>
      <c r="B779" s="20" t="s">
        <v>207</v>
      </c>
      <c r="C779" s="20" t="s">
        <v>208</v>
      </c>
      <c r="D779" s="20" t="s">
        <v>814</v>
      </c>
    </row>
    <row r="780" customFormat="false" ht="15" hidden="false" customHeight="false" outlineLevel="0" collapsed="false">
      <c r="A780" s="20" t="s">
        <v>626</v>
      </c>
      <c r="B780" s="20" t="s">
        <v>873</v>
      </c>
      <c r="C780" s="20" t="s">
        <v>633</v>
      </c>
      <c r="D780" s="20" t="s">
        <v>814</v>
      </c>
    </row>
    <row r="781" customFormat="false" ht="15" hidden="false" customHeight="false" outlineLevel="0" collapsed="false">
      <c r="A781" s="20" t="s">
        <v>626</v>
      </c>
      <c r="B781" s="20" t="s">
        <v>901</v>
      </c>
      <c r="C781" s="20" t="s">
        <v>286</v>
      </c>
      <c r="D781" s="20" t="s">
        <v>814</v>
      </c>
    </row>
    <row r="782" customFormat="false" ht="15" hidden="false" customHeight="false" outlineLevel="0" collapsed="false">
      <c r="A782" s="20" t="s">
        <v>626</v>
      </c>
      <c r="B782" s="20" t="s">
        <v>902</v>
      </c>
      <c r="C782" s="20" t="s">
        <v>331</v>
      </c>
      <c r="D782" s="20" t="s">
        <v>814</v>
      </c>
    </row>
    <row r="783" customFormat="false" ht="15" hidden="false" customHeight="false" outlineLevel="0" collapsed="false">
      <c r="A783" s="20" t="s">
        <v>626</v>
      </c>
      <c r="B783" s="20" t="s">
        <v>85</v>
      </c>
      <c r="C783" s="20" t="s">
        <v>86</v>
      </c>
      <c r="D783" s="20" t="s">
        <v>814</v>
      </c>
    </row>
    <row r="784" customFormat="false" ht="15" hidden="false" customHeight="false" outlineLevel="0" collapsed="false">
      <c r="A784" s="20" t="s">
        <v>626</v>
      </c>
      <c r="B784" s="20" t="s">
        <v>915</v>
      </c>
      <c r="C784" s="20" t="s">
        <v>916</v>
      </c>
      <c r="D784" s="20" t="s">
        <v>818</v>
      </c>
    </row>
    <row r="785" customFormat="false" ht="15" hidden="false" customHeight="false" outlineLevel="0" collapsed="false">
      <c r="A785" s="20" t="s">
        <v>626</v>
      </c>
      <c r="B785" s="20" t="s">
        <v>824</v>
      </c>
      <c r="C785" s="20" t="s">
        <v>825</v>
      </c>
      <c r="D785" s="20" t="s">
        <v>818</v>
      </c>
    </row>
    <row r="786" customFormat="false" ht="15" hidden="false" customHeight="false" outlineLevel="0" collapsed="false">
      <c r="A786" s="20" t="s">
        <v>633</v>
      </c>
      <c r="B786" s="20" t="s">
        <v>990</v>
      </c>
      <c r="C786" s="20" t="s">
        <v>170</v>
      </c>
      <c r="D786" s="20" t="s">
        <v>814</v>
      </c>
    </row>
    <row r="787" customFormat="false" ht="15" hidden="false" customHeight="false" outlineLevel="0" collapsed="false">
      <c r="A787" s="20" t="s">
        <v>633</v>
      </c>
      <c r="B787" s="20" t="s">
        <v>217</v>
      </c>
      <c r="C787" s="20" t="s">
        <v>218</v>
      </c>
      <c r="D787" s="20" t="s">
        <v>814</v>
      </c>
    </row>
    <row r="788" customFormat="false" ht="15" hidden="false" customHeight="false" outlineLevel="0" collapsed="false">
      <c r="A788" s="20" t="s">
        <v>633</v>
      </c>
      <c r="B788" s="20" t="s">
        <v>872</v>
      </c>
      <c r="C788" s="20" t="s">
        <v>626</v>
      </c>
      <c r="D788" s="20" t="s">
        <v>814</v>
      </c>
    </row>
    <row r="789" customFormat="false" ht="15" hidden="false" customHeight="false" outlineLevel="0" collapsed="false">
      <c r="A789" s="20" t="s">
        <v>633</v>
      </c>
      <c r="B789" s="20" t="s">
        <v>874</v>
      </c>
      <c r="C789" s="20" t="s">
        <v>640</v>
      </c>
      <c r="D789" s="20" t="s">
        <v>814</v>
      </c>
    </row>
    <row r="790" customFormat="false" ht="15" hidden="false" customHeight="false" outlineLevel="0" collapsed="false">
      <c r="A790" s="20" t="s">
        <v>633</v>
      </c>
      <c r="B790" s="20" t="s">
        <v>917</v>
      </c>
      <c r="C790" s="20" t="s">
        <v>295</v>
      </c>
      <c r="D790" s="20" t="s">
        <v>814</v>
      </c>
    </row>
    <row r="791" customFormat="false" ht="15" hidden="false" customHeight="false" outlineLevel="0" collapsed="false">
      <c r="A791" s="20" t="s">
        <v>633</v>
      </c>
      <c r="B791" s="20" t="s">
        <v>918</v>
      </c>
      <c r="C791" s="20" t="s">
        <v>338</v>
      </c>
      <c r="D791" s="20" t="s">
        <v>814</v>
      </c>
    </row>
    <row r="792" customFormat="false" ht="15" hidden="false" customHeight="false" outlineLevel="0" collapsed="false">
      <c r="A792" s="20" t="s">
        <v>633</v>
      </c>
      <c r="B792" s="20" t="s">
        <v>85</v>
      </c>
      <c r="C792" s="20" t="s">
        <v>86</v>
      </c>
      <c r="D792" s="20" t="s">
        <v>814</v>
      </c>
    </row>
    <row r="793" customFormat="false" ht="15" hidden="false" customHeight="false" outlineLevel="0" collapsed="false">
      <c r="A793" s="20" t="s">
        <v>633</v>
      </c>
      <c r="B793" s="20" t="s">
        <v>931</v>
      </c>
      <c r="C793" s="20" t="s">
        <v>932</v>
      </c>
      <c r="D793" s="20" t="s">
        <v>818</v>
      </c>
    </row>
    <row r="794" customFormat="false" ht="15" hidden="false" customHeight="false" outlineLevel="0" collapsed="false">
      <c r="A794" s="20" t="s">
        <v>633</v>
      </c>
      <c r="B794" s="20" t="s">
        <v>824</v>
      </c>
      <c r="C794" s="20" t="s">
        <v>825</v>
      </c>
      <c r="D794" s="20" t="s">
        <v>818</v>
      </c>
    </row>
    <row r="795" customFormat="false" ht="15" hidden="false" customHeight="false" outlineLevel="0" collapsed="false">
      <c r="A795" s="20" t="s">
        <v>640</v>
      </c>
      <c r="B795" s="20" t="s">
        <v>990</v>
      </c>
      <c r="C795" s="20" t="s">
        <v>170</v>
      </c>
      <c r="D795" s="20" t="s">
        <v>814</v>
      </c>
    </row>
    <row r="796" customFormat="false" ht="15" hidden="false" customHeight="false" outlineLevel="0" collapsed="false">
      <c r="A796" s="20" t="s">
        <v>640</v>
      </c>
      <c r="B796" s="20" t="s">
        <v>226</v>
      </c>
      <c r="C796" s="20" t="s">
        <v>227</v>
      </c>
      <c r="D796" s="20" t="s">
        <v>814</v>
      </c>
    </row>
    <row r="797" customFormat="false" ht="15" hidden="false" customHeight="false" outlineLevel="0" collapsed="false">
      <c r="A797" s="20" t="s">
        <v>640</v>
      </c>
      <c r="B797" s="20" t="s">
        <v>875</v>
      </c>
      <c r="C797" s="20" t="s">
        <v>647</v>
      </c>
      <c r="D797" s="20" t="s">
        <v>814</v>
      </c>
    </row>
    <row r="798" customFormat="false" ht="15" hidden="false" customHeight="false" outlineLevel="0" collapsed="false">
      <c r="A798" s="20" t="s">
        <v>640</v>
      </c>
      <c r="B798" s="20" t="s">
        <v>876</v>
      </c>
      <c r="C798" s="20" t="s">
        <v>654</v>
      </c>
      <c r="D798" s="20" t="s">
        <v>814</v>
      </c>
    </row>
    <row r="799" customFormat="false" ht="15" hidden="false" customHeight="false" outlineLevel="0" collapsed="false">
      <c r="A799" s="20" t="s">
        <v>640</v>
      </c>
      <c r="B799" s="20" t="s">
        <v>933</v>
      </c>
      <c r="C799" s="20" t="s">
        <v>304</v>
      </c>
      <c r="D799" s="20" t="s">
        <v>814</v>
      </c>
    </row>
    <row r="800" customFormat="false" ht="15" hidden="false" customHeight="false" outlineLevel="0" collapsed="false">
      <c r="A800" s="20" t="s">
        <v>640</v>
      </c>
      <c r="B800" s="20" t="s">
        <v>934</v>
      </c>
      <c r="C800" s="20" t="s">
        <v>345</v>
      </c>
      <c r="D800" s="20" t="s">
        <v>814</v>
      </c>
    </row>
    <row r="801" customFormat="false" ht="15" hidden="false" customHeight="false" outlineLevel="0" collapsed="false">
      <c r="A801" s="20" t="s">
        <v>640</v>
      </c>
      <c r="B801" s="20" t="s">
        <v>85</v>
      </c>
      <c r="C801" s="20" t="s">
        <v>86</v>
      </c>
      <c r="D801" s="20" t="s">
        <v>814</v>
      </c>
    </row>
    <row r="802" customFormat="false" ht="15" hidden="false" customHeight="false" outlineLevel="0" collapsed="false">
      <c r="A802" s="20" t="s">
        <v>640</v>
      </c>
      <c r="B802" s="20" t="s">
        <v>947</v>
      </c>
      <c r="C802" s="20" t="s">
        <v>948</v>
      </c>
      <c r="D802" s="20" t="s">
        <v>818</v>
      </c>
    </row>
    <row r="803" customFormat="false" ht="15" hidden="false" customHeight="false" outlineLevel="0" collapsed="false">
      <c r="A803" s="20" t="s">
        <v>640</v>
      </c>
      <c r="B803" s="20" t="s">
        <v>824</v>
      </c>
      <c r="C803" s="20" t="s">
        <v>825</v>
      </c>
      <c r="D803" s="20" t="s">
        <v>818</v>
      </c>
    </row>
    <row r="804" customFormat="false" ht="15" hidden="false" customHeight="false" outlineLevel="0" collapsed="false">
      <c r="A804" s="20" t="s">
        <v>647</v>
      </c>
      <c r="B804" s="20" t="s">
        <v>990</v>
      </c>
      <c r="C804" s="20" t="s">
        <v>170</v>
      </c>
      <c r="D804" s="20" t="s">
        <v>814</v>
      </c>
    </row>
    <row r="805" customFormat="false" ht="15" hidden="false" customHeight="false" outlineLevel="0" collapsed="false">
      <c r="A805" s="20" t="s">
        <v>647</v>
      </c>
      <c r="B805" s="20" t="s">
        <v>235</v>
      </c>
      <c r="C805" s="20" t="s">
        <v>236</v>
      </c>
      <c r="D805" s="20" t="s">
        <v>814</v>
      </c>
    </row>
    <row r="806" customFormat="false" ht="15" hidden="false" customHeight="false" outlineLevel="0" collapsed="false">
      <c r="A806" s="20" t="s">
        <v>647</v>
      </c>
      <c r="B806" s="20" t="s">
        <v>874</v>
      </c>
      <c r="C806" s="20" t="s">
        <v>640</v>
      </c>
      <c r="D806" s="20" t="s">
        <v>814</v>
      </c>
    </row>
    <row r="807" customFormat="false" ht="15" hidden="false" customHeight="false" outlineLevel="0" collapsed="false">
      <c r="A807" s="20" t="s">
        <v>647</v>
      </c>
      <c r="B807" s="20" t="s">
        <v>949</v>
      </c>
      <c r="C807" s="20" t="s">
        <v>313</v>
      </c>
      <c r="D807" s="20" t="s">
        <v>814</v>
      </c>
    </row>
    <row r="808" customFormat="false" ht="15" hidden="false" customHeight="false" outlineLevel="0" collapsed="false">
      <c r="A808" s="20" t="s">
        <v>647</v>
      </c>
      <c r="B808" s="20" t="s">
        <v>950</v>
      </c>
      <c r="C808" s="20" t="s">
        <v>352</v>
      </c>
      <c r="D808" s="20" t="s">
        <v>814</v>
      </c>
    </row>
    <row r="809" customFormat="false" ht="15" hidden="false" customHeight="false" outlineLevel="0" collapsed="false">
      <c r="A809" s="20" t="s">
        <v>647</v>
      </c>
      <c r="B809" s="20" t="s">
        <v>85</v>
      </c>
      <c r="C809" s="20" t="s">
        <v>86</v>
      </c>
      <c r="D809" s="20" t="s">
        <v>814</v>
      </c>
    </row>
    <row r="810" customFormat="false" ht="15" hidden="false" customHeight="false" outlineLevel="0" collapsed="false">
      <c r="A810" s="20" t="s">
        <v>647</v>
      </c>
      <c r="B810" s="20" t="s">
        <v>963</v>
      </c>
      <c r="C810" s="20" t="s">
        <v>964</v>
      </c>
      <c r="D810" s="20" t="s">
        <v>818</v>
      </c>
    </row>
    <row r="811" customFormat="false" ht="15" hidden="false" customHeight="false" outlineLevel="0" collapsed="false">
      <c r="A811" s="20" t="s">
        <v>647</v>
      </c>
      <c r="B811" s="20" t="s">
        <v>824</v>
      </c>
      <c r="C811" s="20" t="s">
        <v>825</v>
      </c>
      <c r="D811" s="20" t="s">
        <v>818</v>
      </c>
    </row>
    <row r="812" customFormat="false" ht="15" hidden="false" customHeight="false" outlineLevel="0" collapsed="false">
      <c r="A812" s="20" t="s">
        <v>654</v>
      </c>
      <c r="B812" s="20" t="s">
        <v>990</v>
      </c>
      <c r="C812" s="20" t="s">
        <v>170</v>
      </c>
      <c r="D812" s="20" t="s">
        <v>814</v>
      </c>
    </row>
    <row r="813" customFormat="false" ht="15" hidden="false" customHeight="false" outlineLevel="0" collapsed="false">
      <c r="A813" s="20" t="s">
        <v>654</v>
      </c>
      <c r="B813" s="20" t="s">
        <v>244</v>
      </c>
      <c r="C813" s="20" t="s">
        <v>245</v>
      </c>
      <c r="D813" s="20" t="s">
        <v>814</v>
      </c>
    </row>
    <row r="814" customFormat="false" ht="15" hidden="false" customHeight="false" outlineLevel="0" collapsed="false">
      <c r="A814" s="20" t="s">
        <v>654</v>
      </c>
      <c r="B814" s="20" t="s">
        <v>874</v>
      </c>
      <c r="C814" s="20" t="s">
        <v>640</v>
      </c>
      <c r="D814" s="20" t="s">
        <v>814</v>
      </c>
    </row>
    <row r="815" customFormat="false" ht="15" hidden="false" customHeight="false" outlineLevel="0" collapsed="false">
      <c r="A815" s="20" t="s">
        <v>654</v>
      </c>
      <c r="B815" s="20" t="s">
        <v>965</v>
      </c>
      <c r="C815" s="20" t="s">
        <v>322</v>
      </c>
      <c r="D815" s="20" t="s">
        <v>814</v>
      </c>
    </row>
    <row r="816" customFormat="false" ht="15" hidden="false" customHeight="false" outlineLevel="0" collapsed="false">
      <c r="A816" s="20" t="s">
        <v>654</v>
      </c>
      <c r="B816" s="20" t="s">
        <v>966</v>
      </c>
      <c r="C816" s="20" t="s">
        <v>359</v>
      </c>
      <c r="D816" s="20" t="s">
        <v>814</v>
      </c>
    </row>
    <row r="817" customFormat="false" ht="15" hidden="false" customHeight="false" outlineLevel="0" collapsed="false">
      <c r="A817" s="20" t="s">
        <v>654</v>
      </c>
      <c r="B817" s="20" t="s">
        <v>85</v>
      </c>
      <c r="C817" s="20" t="s">
        <v>86</v>
      </c>
      <c r="D817" s="20" t="s">
        <v>814</v>
      </c>
    </row>
    <row r="818" customFormat="false" ht="15" hidden="false" customHeight="false" outlineLevel="0" collapsed="false">
      <c r="A818" s="20" t="s">
        <v>654</v>
      </c>
      <c r="B818" s="20" t="s">
        <v>979</v>
      </c>
      <c r="C818" s="20" t="s">
        <v>980</v>
      </c>
      <c r="D818" s="20" t="s">
        <v>818</v>
      </c>
    </row>
    <row r="819" customFormat="false" ht="15" hidden="false" customHeight="false" outlineLevel="0" collapsed="false">
      <c r="A819" s="20" t="s">
        <v>654</v>
      </c>
      <c r="B819" s="20" t="s">
        <v>824</v>
      </c>
      <c r="C819" s="20" t="s">
        <v>825</v>
      </c>
      <c r="D819" s="20" t="s">
        <v>818</v>
      </c>
    </row>
    <row r="820" customFormat="false" ht="15" hidden="false" customHeight="false" outlineLevel="0" collapsed="false">
      <c r="A820" s="20" t="s">
        <v>661</v>
      </c>
      <c r="B820" s="20" t="s">
        <v>991</v>
      </c>
      <c r="C820" s="20" t="s">
        <v>177</v>
      </c>
      <c r="D820" s="20" t="s">
        <v>814</v>
      </c>
    </row>
    <row r="821" customFormat="false" ht="15" hidden="false" customHeight="false" outlineLevel="0" collapsed="false">
      <c r="A821" s="20" t="s">
        <v>661</v>
      </c>
      <c r="B821" s="20" t="s">
        <v>207</v>
      </c>
      <c r="C821" s="20" t="s">
        <v>208</v>
      </c>
      <c r="D821" s="20" t="s">
        <v>814</v>
      </c>
    </row>
    <row r="822" customFormat="false" ht="15" hidden="false" customHeight="false" outlineLevel="0" collapsed="false">
      <c r="A822" s="20" t="s">
        <v>661</v>
      </c>
      <c r="B822" s="20" t="s">
        <v>878</v>
      </c>
      <c r="C822" s="20" t="s">
        <v>668</v>
      </c>
      <c r="D822" s="20" t="s">
        <v>814</v>
      </c>
    </row>
    <row r="823" customFormat="false" ht="15" hidden="false" customHeight="false" outlineLevel="0" collapsed="false">
      <c r="A823" s="20" t="s">
        <v>661</v>
      </c>
      <c r="B823" s="20" t="s">
        <v>901</v>
      </c>
      <c r="C823" s="20" t="s">
        <v>286</v>
      </c>
      <c r="D823" s="20" t="s">
        <v>814</v>
      </c>
    </row>
    <row r="824" customFormat="false" ht="15" hidden="false" customHeight="false" outlineLevel="0" collapsed="false">
      <c r="A824" s="20" t="s">
        <v>661</v>
      </c>
      <c r="B824" s="20" t="s">
        <v>910</v>
      </c>
      <c r="C824" s="20" t="s">
        <v>626</v>
      </c>
      <c r="D824" s="20" t="s">
        <v>814</v>
      </c>
    </row>
    <row r="825" customFormat="false" ht="15" hidden="false" customHeight="false" outlineLevel="0" collapsed="false">
      <c r="A825" s="20" t="s">
        <v>661</v>
      </c>
      <c r="B825" s="20" t="s">
        <v>85</v>
      </c>
      <c r="C825" s="20" t="s">
        <v>86</v>
      </c>
      <c r="D825" s="20" t="s">
        <v>814</v>
      </c>
    </row>
    <row r="826" customFormat="false" ht="15" hidden="false" customHeight="false" outlineLevel="0" collapsed="false">
      <c r="A826" s="20" t="s">
        <v>661</v>
      </c>
      <c r="B826" s="20" t="s">
        <v>915</v>
      </c>
      <c r="C826" s="20" t="s">
        <v>916</v>
      </c>
      <c r="D826" s="20" t="s">
        <v>818</v>
      </c>
    </row>
    <row r="827" customFormat="false" ht="15" hidden="false" customHeight="false" outlineLevel="0" collapsed="false">
      <c r="A827" s="20" t="s">
        <v>661</v>
      </c>
      <c r="B827" s="20" t="s">
        <v>824</v>
      </c>
      <c r="C827" s="20" t="s">
        <v>825</v>
      </c>
      <c r="D827" s="20" t="s">
        <v>818</v>
      </c>
    </row>
    <row r="828" customFormat="false" ht="15" hidden="false" customHeight="false" outlineLevel="0" collapsed="false">
      <c r="A828" s="20" t="s">
        <v>668</v>
      </c>
      <c r="B828" s="20" t="s">
        <v>991</v>
      </c>
      <c r="C828" s="20" t="s">
        <v>177</v>
      </c>
      <c r="D828" s="20" t="s">
        <v>814</v>
      </c>
    </row>
    <row r="829" customFormat="false" ht="15" hidden="false" customHeight="false" outlineLevel="0" collapsed="false">
      <c r="A829" s="20" t="s">
        <v>668</v>
      </c>
      <c r="B829" s="20" t="s">
        <v>217</v>
      </c>
      <c r="C829" s="20" t="s">
        <v>218</v>
      </c>
      <c r="D829" s="20" t="s">
        <v>814</v>
      </c>
    </row>
    <row r="830" customFormat="false" ht="15" hidden="false" customHeight="false" outlineLevel="0" collapsed="false">
      <c r="A830" s="20" t="s">
        <v>668</v>
      </c>
      <c r="B830" s="20" t="s">
        <v>877</v>
      </c>
      <c r="C830" s="20" t="s">
        <v>661</v>
      </c>
      <c r="D830" s="20" t="s">
        <v>814</v>
      </c>
    </row>
    <row r="831" customFormat="false" ht="15" hidden="false" customHeight="false" outlineLevel="0" collapsed="false">
      <c r="A831" s="20" t="s">
        <v>668</v>
      </c>
      <c r="B831" s="20" t="s">
        <v>879</v>
      </c>
      <c r="C831" s="20" t="s">
        <v>675</v>
      </c>
      <c r="D831" s="20" t="s">
        <v>814</v>
      </c>
    </row>
    <row r="832" customFormat="false" ht="15" hidden="false" customHeight="false" outlineLevel="0" collapsed="false">
      <c r="A832" s="20" t="s">
        <v>668</v>
      </c>
      <c r="B832" s="20" t="s">
        <v>917</v>
      </c>
      <c r="C832" s="20" t="s">
        <v>295</v>
      </c>
      <c r="D832" s="20" t="s">
        <v>814</v>
      </c>
    </row>
    <row r="833" customFormat="false" ht="15" hidden="false" customHeight="false" outlineLevel="0" collapsed="false">
      <c r="A833" s="20" t="s">
        <v>668</v>
      </c>
      <c r="B833" s="20" t="s">
        <v>926</v>
      </c>
      <c r="C833" s="20" t="s">
        <v>633</v>
      </c>
      <c r="D833" s="20" t="s">
        <v>814</v>
      </c>
    </row>
    <row r="834" customFormat="false" ht="15" hidden="false" customHeight="false" outlineLevel="0" collapsed="false">
      <c r="A834" s="20" t="s">
        <v>668</v>
      </c>
      <c r="B834" s="20" t="s">
        <v>85</v>
      </c>
      <c r="C834" s="20" t="s">
        <v>86</v>
      </c>
      <c r="D834" s="20" t="s">
        <v>814</v>
      </c>
    </row>
    <row r="835" customFormat="false" ht="15" hidden="false" customHeight="false" outlineLevel="0" collapsed="false">
      <c r="A835" s="20" t="s">
        <v>668</v>
      </c>
      <c r="B835" s="20" t="s">
        <v>931</v>
      </c>
      <c r="C835" s="20" t="s">
        <v>932</v>
      </c>
      <c r="D835" s="20" t="s">
        <v>818</v>
      </c>
    </row>
    <row r="836" customFormat="false" ht="15" hidden="false" customHeight="false" outlineLevel="0" collapsed="false">
      <c r="A836" s="20" t="s">
        <v>668</v>
      </c>
      <c r="B836" s="20" t="s">
        <v>824</v>
      </c>
      <c r="C836" s="20" t="s">
        <v>825</v>
      </c>
      <c r="D836" s="20" t="s">
        <v>818</v>
      </c>
    </row>
    <row r="837" customFormat="false" ht="15" hidden="false" customHeight="false" outlineLevel="0" collapsed="false">
      <c r="A837" s="20" t="s">
        <v>675</v>
      </c>
      <c r="B837" s="20" t="s">
        <v>991</v>
      </c>
      <c r="C837" s="20" t="s">
        <v>177</v>
      </c>
      <c r="D837" s="20" t="s">
        <v>814</v>
      </c>
    </row>
    <row r="838" customFormat="false" ht="15" hidden="false" customHeight="false" outlineLevel="0" collapsed="false">
      <c r="A838" s="20" t="s">
        <v>675</v>
      </c>
      <c r="B838" s="20" t="s">
        <v>226</v>
      </c>
      <c r="C838" s="20" t="s">
        <v>227</v>
      </c>
      <c r="D838" s="20" t="s">
        <v>814</v>
      </c>
    </row>
    <row r="839" customFormat="false" ht="15" hidden="false" customHeight="false" outlineLevel="0" collapsed="false">
      <c r="A839" s="20" t="s">
        <v>675</v>
      </c>
      <c r="B839" s="20" t="s">
        <v>880</v>
      </c>
      <c r="C839" s="20" t="s">
        <v>682</v>
      </c>
      <c r="D839" s="20" t="s">
        <v>814</v>
      </c>
    </row>
    <row r="840" customFormat="false" ht="15" hidden="false" customHeight="false" outlineLevel="0" collapsed="false">
      <c r="A840" s="20" t="s">
        <v>675</v>
      </c>
      <c r="B840" s="20" t="s">
        <v>881</v>
      </c>
      <c r="C840" s="20" t="s">
        <v>689</v>
      </c>
      <c r="D840" s="20" t="s">
        <v>814</v>
      </c>
    </row>
    <row r="841" customFormat="false" ht="15" hidden="false" customHeight="false" outlineLevel="0" collapsed="false">
      <c r="A841" s="20" t="s">
        <v>675</v>
      </c>
      <c r="B841" s="20" t="s">
        <v>933</v>
      </c>
      <c r="C841" s="20" t="s">
        <v>304</v>
      </c>
      <c r="D841" s="20" t="s">
        <v>814</v>
      </c>
    </row>
    <row r="842" customFormat="false" ht="15" hidden="false" customHeight="false" outlineLevel="0" collapsed="false">
      <c r="A842" s="20" t="s">
        <v>675</v>
      </c>
      <c r="B842" s="20" t="s">
        <v>942</v>
      </c>
      <c r="C842" s="20" t="s">
        <v>640</v>
      </c>
      <c r="D842" s="20" t="s">
        <v>814</v>
      </c>
    </row>
    <row r="843" customFormat="false" ht="15" hidden="false" customHeight="false" outlineLevel="0" collapsed="false">
      <c r="A843" s="20" t="s">
        <v>675</v>
      </c>
      <c r="B843" s="20" t="s">
        <v>85</v>
      </c>
      <c r="C843" s="20" t="s">
        <v>86</v>
      </c>
      <c r="D843" s="20" t="s">
        <v>814</v>
      </c>
    </row>
    <row r="844" customFormat="false" ht="15" hidden="false" customHeight="false" outlineLevel="0" collapsed="false">
      <c r="A844" s="20" t="s">
        <v>675</v>
      </c>
      <c r="B844" s="20" t="s">
        <v>947</v>
      </c>
      <c r="C844" s="20" t="s">
        <v>948</v>
      </c>
      <c r="D844" s="20" t="s">
        <v>818</v>
      </c>
    </row>
    <row r="845" customFormat="false" ht="15" hidden="false" customHeight="false" outlineLevel="0" collapsed="false">
      <c r="A845" s="20" t="s">
        <v>675</v>
      </c>
      <c r="B845" s="20" t="s">
        <v>824</v>
      </c>
      <c r="C845" s="20" t="s">
        <v>825</v>
      </c>
      <c r="D845" s="20" t="s">
        <v>818</v>
      </c>
    </row>
    <row r="846" customFormat="false" ht="15" hidden="false" customHeight="false" outlineLevel="0" collapsed="false">
      <c r="A846" s="20" t="s">
        <v>682</v>
      </c>
      <c r="B846" s="20" t="s">
        <v>991</v>
      </c>
      <c r="C846" s="20" t="s">
        <v>177</v>
      </c>
      <c r="D846" s="20" t="s">
        <v>814</v>
      </c>
    </row>
    <row r="847" customFormat="false" ht="15" hidden="false" customHeight="false" outlineLevel="0" collapsed="false">
      <c r="A847" s="20" t="s">
        <v>682</v>
      </c>
      <c r="B847" s="20" t="s">
        <v>235</v>
      </c>
      <c r="C847" s="20" t="s">
        <v>236</v>
      </c>
      <c r="D847" s="20" t="s">
        <v>814</v>
      </c>
    </row>
    <row r="848" customFormat="false" ht="15" hidden="false" customHeight="false" outlineLevel="0" collapsed="false">
      <c r="A848" s="20" t="s">
        <v>682</v>
      </c>
      <c r="B848" s="20" t="s">
        <v>879</v>
      </c>
      <c r="C848" s="20" t="s">
        <v>675</v>
      </c>
      <c r="D848" s="20" t="s">
        <v>814</v>
      </c>
    </row>
    <row r="849" customFormat="false" ht="15" hidden="false" customHeight="false" outlineLevel="0" collapsed="false">
      <c r="A849" s="20" t="s">
        <v>682</v>
      </c>
      <c r="B849" s="20" t="s">
        <v>949</v>
      </c>
      <c r="C849" s="20" t="s">
        <v>313</v>
      </c>
      <c r="D849" s="20" t="s">
        <v>814</v>
      </c>
    </row>
    <row r="850" customFormat="false" ht="15" hidden="false" customHeight="false" outlineLevel="0" collapsed="false">
      <c r="A850" s="20" t="s">
        <v>682</v>
      </c>
      <c r="B850" s="20" t="s">
        <v>958</v>
      </c>
      <c r="C850" s="20" t="s">
        <v>647</v>
      </c>
      <c r="D850" s="20" t="s">
        <v>814</v>
      </c>
    </row>
    <row r="851" customFormat="false" ht="15" hidden="false" customHeight="false" outlineLevel="0" collapsed="false">
      <c r="A851" s="20" t="s">
        <v>682</v>
      </c>
      <c r="B851" s="20" t="s">
        <v>85</v>
      </c>
      <c r="C851" s="20" t="s">
        <v>86</v>
      </c>
      <c r="D851" s="20" t="s">
        <v>814</v>
      </c>
    </row>
    <row r="852" customFormat="false" ht="15" hidden="false" customHeight="false" outlineLevel="0" collapsed="false">
      <c r="A852" s="20" t="s">
        <v>682</v>
      </c>
      <c r="B852" s="20" t="s">
        <v>963</v>
      </c>
      <c r="C852" s="20" t="s">
        <v>964</v>
      </c>
      <c r="D852" s="20" t="s">
        <v>818</v>
      </c>
    </row>
    <row r="853" customFormat="false" ht="15" hidden="false" customHeight="false" outlineLevel="0" collapsed="false">
      <c r="A853" s="20" t="s">
        <v>682</v>
      </c>
      <c r="B853" s="20" t="s">
        <v>824</v>
      </c>
      <c r="C853" s="20" t="s">
        <v>825</v>
      </c>
      <c r="D853" s="20" t="s">
        <v>818</v>
      </c>
    </row>
    <row r="854" customFormat="false" ht="15" hidden="false" customHeight="false" outlineLevel="0" collapsed="false">
      <c r="A854" s="20" t="s">
        <v>689</v>
      </c>
      <c r="B854" s="20" t="s">
        <v>991</v>
      </c>
      <c r="C854" s="20" t="s">
        <v>177</v>
      </c>
      <c r="D854" s="20" t="s">
        <v>814</v>
      </c>
    </row>
    <row r="855" customFormat="false" ht="15" hidden="false" customHeight="false" outlineLevel="0" collapsed="false">
      <c r="A855" s="20" t="s">
        <v>689</v>
      </c>
      <c r="B855" s="20" t="s">
        <v>244</v>
      </c>
      <c r="C855" s="20" t="s">
        <v>245</v>
      </c>
      <c r="D855" s="20" t="s">
        <v>814</v>
      </c>
    </row>
    <row r="856" customFormat="false" ht="15" hidden="false" customHeight="false" outlineLevel="0" collapsed="false">
      <c r="A856" s="20" t="s">
        <v>689</v>
      </c>
      <c r="B856" s="20" t="s">
        <v>879</v>
      </c>
      <c r="C856" s="20" t="s">
        <v>675</v>
      </c>
      <c r="D856" s="20" t="s">
        <v>814</v>
      </c>
    </row>
    <row r="857" customFormat="false" ht="15" hidden="false" customHeight="false" outlineLevel="0" collapsed="false">
      <c r="A857" s="20" t="s">
        <v>689</v>
      </c>
      <c r="B857" s="20" t="s">
        <v>965</v>
      </c>
      <c r="C857" s="20" t="s">
        <v>322</v>
      </c>
      <c r="D857" s="20" t="s">
        <v>814</v>
      </c>
    </row>
    <row r="858" customFormat="false" ht="15" hidden="false" customHeight="false" outlineLevel="0" collapsed="false">
      <c r="A858" s="20" t="s">
        <v>689</v>
      </c>
      <c r="B858" s="20" t="s">
        <v>974</v>
      </c>
      <c r="C858" s="20" t="s">
        <v>654</v>
      </c>
      <c r="D858" s="20" t="s">
        <v>814</v>
      </c>
    </row>
    <row r="859" customFormat="false" ht="15" hidden="false" customHeight="false" outlineLevel="0" collapsed="false">
      <c r="A859" s="20" t="s">
        <v>689</v>
      </c>
      <c r="B859" s="20" t="s">
        <v>85</v>
      </c>
      <c r="C859" s="20" t="s">
        <v>86</v>
      </c>
      <c r="D859" s="20" t="s">
        <v>814</v>
      </c>
    </row>
    <row r="860" customFormat="false" ht="15" hidden="false" customHeight="false" outlineLevel="0" collapsed="false">
      <c r="A860" s="20" t="s">
        <v>689</v>
      </c>
      <c r="B860" s="20" t="s">
        <v>979</v>
      </c>
      <c r="C860" s="20" t="s">
        <v>980</v>
      </c>
      <c r="D860" s="20" t="s">
        <v>818</v>
      </c>
    </row>
    <row r="861" customFormat="false" ht="15" hidden="false" customHeight="false" outlineLevel="0" collapsed="false">
      <c r="A861" s="20" t="s">
        <v>689</v>
      </c>
      <c r="B861" s="20" t="s">
        <v>824</v>
      </c>
      <c r="C861" s="20" t="s">
        <v>825</v>
      </c>
      <c r="D861" s="20" t="s">
        <v>818</v>
      </c>
    </row>
    <row r="862" customFormat="false" ht="15" hidden="false" customHeight="false" outlineLevel="0" collapsed="false">
      <c r="A862" s="20" t="s">
        <v>696</v>
      </c>
      <c r="B862" s="20" t="s">
        <v>992</v>
      </c>
      <c r="C862" s="20" t="s">
        <v>184</v>
      </c>
      <c r="D862" s="20" t="s">
        <v>814</v>
      </c>
    </row>
    <row r="863" customFormat="false" ht="15" hidden="false" customHeight="false" outlineLevel="0" collapsed="false">
      <c r="A863" s="20" t="s">
        <v>696</v>
      </c>
      <c r="B863" s="20" t="s">
        <v>207</v>
      </c>
      <c r="C863" s="20" t="s">
        <v>208</v>
      </c>
      <c r="D863" s="20" t="s">
        <v>814</v>
      </c>
    </row>
    <row r="864" customFormat="false" ht="15" hidden="false" customHeight="false" outlineLevel="0" collapsed="false">
      <c r="A864" s="20" t="s">
        <v>696</v>
      </c>
      <c r="B864" s="20" t="s">
        <v>883</v>
      </c>
      <c r="C864" s="20" t="s">
        <v>703</v>
      </c>
      <c r="D864" s="20" t="s">
        <v>814</v>
      </c>
    </row>
    <row r="865" customFormat="false" ht="15" hidden="false" customHeight="false" outlineLevel="0" collapsed="false">
      <c r="A865" s="20" t="s">
        <v>696</v>
      </c>
      <c r="B865" s="20" t="s">
        <v>905</v>
      </c>
      <c r="C865" s="20" t="s">
        <v>441</v>
      </c>
      <c r="D865" s="20" t="s">
        <v>814</v>
      </c>
    </row>
    <row r="866" customFormat="false" ht="15" hidden="false" customHeight="false" outlineLevel="0" collapsed="false">
      <c r="A866" s="20" t="s">
        <v>696</v>
      </c>
      <c r="B866" s="20" t="s">
        <v>903</v>
      </c>
      <c r="C866" s="20" t="s">
        <v>366</v>
      </c>
      <c r="D866" s="20" t="s">
        <v>814</v>
      </c>
    </row>
    <row r="867" customFormat="false" ht="15" hidden="false" customHeight="false" outlineLevel="0" collapsed="false">
      <c r="A867" s="20" t="s">
        <v>696</v>
      </c>
      <c r="B867" s="20" t="s">
        <v>85</v>
      </c>
      <c r="C867" s="20" t="s">
        <v>86</v>
      </c>
      <c r="D867" s="20" t="s">
        <v>814</v>
      </c>
    </row>
    <row r="868" customFormat="false" ht="15" hidden="false" customHeight="false" outlineLevel="0" collapsed="false">
      <c r="A868" s="20" t="s">
        <v>696</v>
      </c>
      <c r="B868" s="20" t="s">
        <v>915</v>
      </c>
      <c r="C868" s="20" t="s">
        <v>916</v>
      </c>
      <c r="D868" s="20" t="s">
        <v>818</v>
      </c>
    </row>
    <row r="869" customFormat="false" ht="15" hidden="false" customHeight="false" outlineLevel="0" collapsed="false">
      <c r="A869" s="20" t="s">
        <v>696</v>
      </c>
      <c r="B869" s="20" t="s">
        <v>848</v>
      </c>
      <c r="C869" s="20" t="s">
        <v>849</v>
      </c>
      <c r="D869" s="20" t="s">
        <v>818</v>
      </c>
    </row>
    <row r="870" customFormat="false" ht="15" hidden="false" customHeight="false" outlineLevel="0" collapsed="false">
      <c r="A870" s="20" t="s">
        <v>703</v>
      </c>
      <c r="B870" s="20" t="s">
        <v>992</v>
      </c>
      <c r="C870" s="20" t="s">
        <v>184</v>
      </c>
      <c r="D870" s="20" t="s">
        <v>814</v>
      </c>
    </row>
    <row r="871" customFormat="false" ht="15" hidden="false" customHeight="false" outlineLevel="0" collapsed="false">
      <c r="A871" s="20" t="s">
        <v>703</v>
      </c>
      <c r="B871" s="20" t="s">
        <v>217</v>
      </c>
      <c r="C871" s="20" t="s">
        <v>218</v>
      </c>
      <c r="D871" s="20" t="s">
        <v>814</v>
      </c>
    </row>
    <row r="872" customFormat="false" ht="15" hidden="false" customHeight="false" outlineLevel="0" collapsed="false">
      <c r="A872" s="20" t="s">
        <v>703</v>
      </c>
      <c r="B872" s="20" t="s">
        <v>882</v>
      </c>
      <c r="C872" s="20" t="s">
        <v>696</v>
      </c>
      <c r="D872" s="20" t="s">
        <v>814</v>
      </c>
    </row>
    <row r="873" customFormat="false" ht="15" hidden="false" customHeight="false" outlineLevel="0" collapsed="false">
      <c r="A873" s="20" t="s">
        <v>703</v>
      </c>
      <c r="B873" s="20" t="s">
        <v>884</v>
      </c>
      <c r="C873" s="20" t="s">
        <v>710</v>
      </c>
      <c r="D873" s="20" t="s">
        <v>814</v>
      </c>
    </row>
    <row r="874" customFormat="false" ht="15" hidden="false" customHeight="false" outlineLevel="0" collapsed="false">
      <c r="A874" s="20" t="s">
        <v>703</v>
      </c>
      <c r="B874" s="20" t="s">
        <v>921</v>
      </c>
      <c r="C874" s="20" t="s">
        <v>449</v>
      </c>
      <c r="D874" s="20" t="s">
        <v>814</v>
      </c>
    </row>
    <row r="875" customFormat="false" ht="15" hidden="false" customHeight="false" outlineLevel="0" collapsed="false">
      <c r="A875" s="20" t="s">
        <v>703</v>
      </c>
      <c r="B875" s="20" t="s">
        <v>919</v>
      </c>
      <c r="C875" s="20" t="s">
        <v>374</v>
      </c>
      <c r="D875" s="20" t="s">
        <v>814</v>
      </c>
    </row>
    <row r="876" customFormat="false" ht="15" hidden="false" customHeight="false" outlineLevel="0" collapsed="false">
      <c r="A876" s="20" t="s">
        <v>703</v>
      </c>
      <c r="B876" s="20" t="s">
        <v>85</v>
      </c>
      <c r="C876" s="20" t="s">
        <v>86</v>
      </c>
      <c r="D876" s="20" t="s">
        <v>814</v>
      </c>
    </row>
    <row r="877" customFormat="false" ht="15" hidden="false" customHeight="false" outlineLevel="0" collapsed="false">
      <c r="A877" s="20" t="s">
        <v>703</v>
      </c>
      <c r="B877" s="20" t="s">
        <v>931</v>
      </c>
      <c r="C877" s="20" t="s">
        <v>932</v>
      </c>
      <c r="D877" s="20" t="s">
        <v>818</v>
      </c>
    </row>
    <row r="878" customFormat="false" ht="15" hidden="false" customHeight="false" outlineLevel="0" collapsed="false">
      <c r="A878" s="20" t="s">
        <v>703</v>
      </c>
      <c r="B878" s="20" t="s">
        <v>848</v>
      </c>
      <c r="C878" s="20" t="s">
        <v>849</v>
      </c>
      <c r="D878" s="20" t="s">
        <v>818</v>
      </c>
    </row>
    <row r="879" customFormat="false" ht="15" hidden="false" customHeight="false" outlineLevel="0" collapsed="false">
      <c r="A879" s="20" t="s">
        <v>710</v>
      </c>
      <c r="B879" s="20" t="s">
        <v>992</v>
      </c>
      <c r="C879" s="20" t="s">
        <v>184</v>
      </c>
      <c r="D879" s="20" t="s">
        <v>814</v>
      </c>
    </row>
    <row r="880" customFormat="false" ht="15" hidden="false" customHeight="false" outlineLevel="0" collapsed="false">
      <c r="A880" s="20" t="s">
        <v>710</v>
      </c>
      <c r="B880" s="20" t="s">
        <v>226</v>
      </c>
      <c r="C880" s="20" t="s">
        <v>227</v>
      </c>
      <c r="D880" s="20" t="s">
        <v>814</v>
      </c>
    </row>
    <row r="881" customFormat="false" ht="15" hidden="false" customHeight="false" outlineLevel="0" collapsed="false">
      <c r="A881" s="20" t="s">
        <v>710</v>
      </c>
      <c r="B881" s="20" t="s">
        <v>885</v>
      </c>
      <c r="C881" s="20" t="s">
        <v>717</v>
      </c>
      <c r="D881" s="20" t="s">
        <v>814</v>
      </c>
    </row>
    <row r="882" customFormat="false" ht="15" hidden="false" customHeight="false" outlineLevel="0" collapsed="false">
      <c r="A882" s="20" t="s">
        <v>710</v>
      </c>
      <c r="B882" s="20" t="s">
        <v>886</v>
      </c>
      <c r="C882" s="20" t="s">
        <v>724</v>
      </c>
      <c r="D882" s="20" t="s">
        <v>814</v>
      </c>
    </row>
    <row r="883" customFormat="false" ht="15" hidden="false" customHeight="false" outlineLevel="0" collapsed="false">
      <c r="A883" s="20" t="s">
        <v>710</v>
      </c>
      <c r="B883" s="20" t="s">
        <v>937</v>
      </c>
      <c r="C883" s="20" t="s">
        <v>457</v>
      </c>
      <c r="D883" s="20" t="s">
        <v>814</v>
      </c>
    </row>
    <row r="884" customFormat="false" ht="15" hidden="false" customHeight="false" outlineLevel="0" collapsed="false">
      <c r="A884" s="20" t="s">
        <v>710</v>
      </c>
      <c r="B884" s="20" t="s">
        <v>935</v>
      </c>
      <c r="C884" s="20" t="s">
        <v>382</v>
      </c>
      <c r="D884" s="20" t="s">
        <v>814</v>
      </c>
    </row>
    <row r="885" customFormat="false" ht="15" hidden="false" customHeight="false" outlineLevel="0" collapsed="false">
      <c r="A885" s="20" t="s">
        <v>710</v>
      </c>
      <c r="B885" s="20" t="s">
        <v>85</v>
      </c>
      <c r="C885" s="20" t="s">
        <v>86</v>
      </c>
      <c r="D885" s="20" t="s">
        <v>814</v>
      </c>
    </row>
    <row r="886" customFormat="false" ht="15" hidden="false" customHeight="false" outlineLevel="0" collapsed="false">
      <c r="A886" s="20" t="s">
        <v>710</v>
      </c>
      <c r="B886" s="20" t="s">
        <v>947</v>
      </c>
      <c r="C886" s="20" t="s">
        <v>948</v>
      </c>
      <c r="D886" s="20" t="s">
        <v>818</v>
      </c>
    </row>
    <row r="887" customFormat="false" ht="15" hidden="false" customHeight="false" outlineLevel="0" collapsed="false">
      <c r="A887" s="20" t="s">
        <v>710</v>
      </c>
      <c r="B887" s="20" t="s">
        <v>848</v>
      </c>
      <c r="C887" s="20" t="s">
        <v>849</v>
      </c>
      <c r="D887" s="20" t="s">
        <v>818</v>
      </c>
    </row>
    <row r="888" customFormat="false" ht="15" hidden="false" customHeight="false" outlineLevel="0" collapsed="false">
      <c r="A888" s="20" t="s">
        <v>717</v>
      </c>
      <c r="B888" s="20" t="s">
        <v>992</v>
      </c>
      <c r="C888" s="20" t="s">
        <v>184</v>
      </c>
      <c r="D888" s="20" t="s">
        <v>814</v>
      </c>
    </row>
    <row r="889" customFormat="false" ht="15" hidden="false" customHeight="false" outlineLevel="0" collapsed="false">
      <c r="A889" s="20" t="s">
        <v>717</v>
      </c>
      <c r="B889" s="20" t="s">
        <v>235</v>
      </c>
      <c r="C889" s="20" t="s">
        <v>236</v>
      </c>
      <c r="D889" s="20" t="s">
        <v>814</v>
      </c>
    </row>
    <row r="890" customFormat="false" ht="15" hidden="false" customHeight="false" outlineLevel="0" collapsed="false">
      <c r="A890" s="20" t="s">
        <v>717</v>
      </c>
      <c r="B890" s="20" t="s">
        <v>884</v>
      </c>
      <c r="C890" s="20" t="s">
        <v>710</v>
      </c>
      <c r="D890" s="20" t="s">
        <v>814</v>
      </c>
    </row>
    <row r="891" customFormat="false" ht="15" hidden="false" customHeight="false" outlineLevel="0" collapsed="false">
      <c r="A891" s="20" t="s">
        <v>717</v>
      </c>
      <c r="B891" s="20" t="s">
        <v>953</v>
      </c>
      <c r="C891" s="20" t="s">
        <v>465</v>
      </c>
      <c r="D891" s="20" t="s">
        <v>814</v>
      </c>
    </row>
    <row r="892" customFormat="false" ht="15" hidden="false" customHeight="false" outlineLevel="0" collapsed="false">
      <c r="A892" s="20" t="s">
        <v>717</v>
      </c>
      <c r="B892" s="20" t="s">
        <v>951</v>
      </c>
      <c r="C892" s="20" t="s">
        <v>390</v>
      </c>
      <c r="D892" s="20" t="s">
        <v>814</v>
      </c>
    </row>
    <row r="893" customFormat="false" ht="15" hidden="false" customHeight="false" outlineLevel="0" collapsed="false">
      <c r="A893" s="20" t="s">
        <v>717</v>
      </c>
      <c r="B893" s="20" t="s">
        <v>85</v>
      </c>
      <c r="C893" s="20" t="s">
        <v>86</v>
      </c>
      <c r="D893" s="20" t="s">
        <v>814</v>
      </c>
    </row>
    <row r="894" customFormat="false" ht="15" hidden="false" customHeight="false" outlineLevel="0" collapsed="false">
      <c r="A894" s="20" t="s">
        <v>717</v>
      </c>
      <c r="B894" s="20" t="s">
        <v>963</v>
      </c>
      <c r="C894" s="20" t="s">
        <v>964</v>
      </c>
      <c r="D894" s="20" t="s">
        <v>818</v>
      </c>
    </row>
    <row r="895" customFormat="false" ht="15" hidden="false" customHeight="false" outlineLevel="0" collapsed="false">
      <c r="A895" s="20" t="s">
        <v>717</v>
      </c>
      <c r="B895" s="20" t="s">
        <v>848</v>
      </c>
      <c r="C895" s="20" t="s">
        <v>849</v>
      </c>
      <c r="D895" s="20" t="s">
        <v>818</v>
      </c>
    </row>
    <row r="896" customFormat="false" ht="15" hidden="false" customHeight="false" outlineLevel="0" collapsed="false">
      <c r="A896" s="20" t="s">
        <v>724</v>
      </c>
      <c r="B896" s="20" t="s">
        <v>992</v>
      </c>
      <c r="C896" s="20" t="s">
        <v>184</v>
      </c>
      <c r="D896" s="20" t="s">
        <v>814</v>
      </c>
    </row>
    <row r="897" customFormat="false" ht="15" hidden="false" customHeight="false" outlineLevel="0" collapsed="false">
      <c r="A897" s="20" t="s">
        <v>724</v>
      </c>
      <c r="B897" s="20" t="s">
        <v>244</v>
      </c>
      <c r="C897" s="20" t="s">
        <v>245</v>
      </c>
      <c r="D897" s="20" t="s">
        <v>814</v>
      </c>
    </row>
    <row r="898" customFormat="false" ht="15" hidden="false" customHeight="false" outlineLevel="0" collapsed="false">
      <c r="A898" s="20" t="s">
        <v>724</v>
      </c>
      <c r="B898" s="20" t="s">
        <v>884</v>
      </c>
      <c r="C898" s="20" t="s">
        <v>710</v>
      </c>
      <c r="D898" s="20" t="s">
        <v>814</v>
      </c>
    </row>
    <row r="899" customFormat="false" ht="15" hidden="false" customHeight="false" outlineLevel="0" collapsed="false">
      <c r="A899" s="20" t="s">
        <v>724</v>
      </c>
      <c r="B899" s="20" t="s">
        <v>969</v>
      </c>
      <c r="C899" s="20" t="s">
        <v>473</v>
      </c>
      <c r="D899" s="20" t="s">
        <v>814</v>
      </c>
    </row>
    <row r="900" customFormat="false" ht="15" hidden="false" customHeight="false" outlineLevel="0" collapsed="false">
      <c r="A900" s="20" t="s">
        <v>724</v>
      </c>
      <c r="B900" s="20" t="s">
        <v>967</v>
      </c>
      <c r="C900" s="20" t="s">
        <v>398</v>
      </c>
      <c r="D900" s="20" t="s">
        <v>814</v>
      </c>
    </row>
    <row r="901" customFormat="false" ht="15" hidden="false" customHeight="false" outlineLevel="0" collapsed="false">
      <c r="A901" s="20" t="s">
        <v>724</v>
      </c>
      <c r="B901" s="20" t="s">
        <v>85</v>
      </c>
      <c r="C901" s="20" t="s">
        <v>86</v>
      </c>
      <c r="D901" s="20" t="s">
        <v>814</v>
      </c>
    </row>
    <row r="902" customFormat="false" ht="15" hidden="false" customHeight="false" outlineLevel="0" collapsed="false">
      <c r="A902" s="20" t="s">
        <v>724</v>
      </c>
      <c r="B902" s="20" t="s">
        <v>979</v>
      </c>
      <c r="C902" s="20" t="s">
        <v>980</v>
      </c>
      <c r="D902" s="20" t="s">
        <v>818</v>
      </c>
    </row>
    <row r="903" customFormat="false" ht="15" hidden="false" customHeight="false" outlineLevel="0" collapsed="false">
      <c r="A903" s="20" t="s">
        <v>724</v>
      </c>
      <c r="B903" s="20" t="s">
        <v>848</v>
      </c>
      <c r="C903" s="20" t="s">
        <v>849</v>
      </c>
      <c r="D903" s="20" t="s">
        <v>818</v>
      </c>
    </row>
    <row r="904" customFormat="false" ht="15" hidden="false" customHeight="false" outlineLevel="0" collapsed="false">
      <c r="A904" s="20" t="s">
        <v>731</v>
      </c>
      <c r="B904" s="20" t="s">
        <v>993</v>
      </c>
      <c r="C904" s="20" t="s">
        <v>191</v>
      </c>
      <c r="D904" s="20" t="s">
        <v>814</v>
      </c>
    </row>
    <row r="905" customFormat="false" ht="15" hidden="false" customHeight="false" outlineLevel="0" collapsed="false">
      <c r="A905" s="20" t="s">
        <v>731</v>
      </c>
      <c r="B905" s="20" t="s">
        <v>207</v>
      </c>
      <c r="C905" s="20" t="s">
        <v>208</v>
      </c>
      <c r="D905" s="20" t="s">
        <v>814</v>
      </c>
    </row>
    <row r="906" customFormat="false" ht="15" hidden="false" customHeight="false" outlineLevel="0" collapsed="false">
      <c r="A906" s="20" t="s">
        <v>731</v>
      </c>
      <c r="B906" s="20" t="s">
        <v>888</v>
      </c>
      <c r="C906" s="20" t="s">
        <v>739</v>
      </c>
      <c r="D906" s="20" t="s">
        <v>814</v>
      </c>
    </row>
    <row r="907" customFormat="false" ht="15" hidden="false" customHeight="false" outlineLevel="0" collapsed="false">
      <c r="A907" s="20" t="s">
        <v>731</v>
      </c>
      <c r="B907" s="20" t="s">
        <v>910</v>
      </c>
      <c r="C907" s="20" t="s">
        <v>626</v>
      </c>
      <c r="D907" s="20" t="s">
        <v>814</v>
      </c>
    </row>
    <row r="908" customFormat="false" ht="15" hidden="false" customHeight="false" outlineLevel="0" collapsed="false">
      <c r="A908" s="20" t="s">
        <v>731</v>
      </c>
      <c r="B908" s="20" t="s">
        <v>902</v>
      </c>
      <c r="C908" s="20" t="s">
        <v>331</v>
      </c>
      <c r="D908" s="20" t="s">
        <v>814</v>
      </c>
    </row>
    <row r="909" customFormat="false" ht="15" hidden="false" customHeight="false" outlineLevel="0" collapsed="false">
      <c r="A909" s="20" t="s">
        <v>731</v>
      </c>
      <c r="B909" s="20" t="s">
        <v>85</v>
      </c>
      <c r="C909" s="20" t="s">
        <v>86</v>
      </c>
      <c r="D909" s="20" t="s">
        <v>814</v>
      </c>
    </row>
    <row r="910" customFormat="false" ht="15" hidden="false" customHeight="false" outlineLevel="0" collapsed="false">
      <c r="A910" s="20" t="s">
        <v>731</v>
      </c>
      <c r="B910" s="20" t="s">
        <v>915</v>
      </c>
      <c r="C910" s="20" t="s">
        <v>916</v>
      </c>
      <c r="D910" s="20" t="s">
        <v>818</v>
      </c>
    </row>
    <row r="911" customFormat="false" ht="15" hidden="false" customHeight="false" outlineLevel="0" collapsed="false">
      <c r="A911" s="20" t="s">
        <v>731</v>
      </c>
      <c r="B911" s="20" t="s">
        <v>892</v>
      </c>
      <c r="C911" s="20" t="s">
        <v>893</v>
      </c>
      <c r="D911" s="20" t="s">
        <v>818</v>
      </c>
    </row>
    <row r="912" customFormat="false" ht="15" hidden="false" customHeight="false" outlineLevel="0" collapsed="false">
      <c r="A912" s="20" t="s">
        <v>739</v>
      </c>
      <c r="B912" s="20" t="s">
        <v>993</v>
      </c>
      <c r="C912" s="20" t="s">
        <v>191</v>
      </c>
      <c r="D912" s="20" t="s">
        <v>814</v>
      </c>
    </row>
    <row r="913" customFormat="false" ht="15" hidden="false" customHeight="false" outlineLevel="0" collapsed="false">
      <c r="A913" s="20" t="s">
        <v>739</v>
      </c>
      <c r="B913" s="20" t="s">
        <v>217</v>
      </c>
      <c r="C913" s="20" t="s">
        <v>218</v>
      </c>
      <c r="D913" s="20" t="s">
        <v>814</v>
      </c>
    </row>
    <row r="914" customFormat="false" ht="15" hidden="false" customHeight="false" outlineLevel="0" collapsed="false">
      <c r="A914" s="20" t="s">
        <v>739</v>
      </c>
      <c r="B914" s="20" t="s">
        <v>887</v>
      </c>
      <c r="C914" s="20" t="s">
        <v>731</v>
      </c>
      <c r="D914" s="20" t="s">
        <v>814</v>
      </c>
    </row>
    <row r="915" customFormat="false" ht="15" hidden="false" customHeight="false" outlineLevel="0" collapsed="false">
      <c r="A915" s="20" t="s">
        <v>739</v>
      </c>
      <c r="B915" s="20" t="s">
        <v>889</v>
      </c>
      <c r="C915" s="20" t="s">
        <v>747</v>
      </c>
      <c r="D915" s="20" t="s">
        <v>814</v>
      </c>
    </row>
    <row r="916" customFormat="false" ht="15" hidden="false" customHeight="false" outlineLevel="0" collapsed="false">
      <c r="A916" s="20" t="s">
        <v>739</v>
      </c>
      <c r="B916" s="20" t="s">
        <v>926</v>
      </c>
      <c r="C916" s="20" t="s">
        <v>633</v>
      </c>
      <c r="D916" s="20" t="s">
        <v>814</v>
      </c>
    </row>
    <row r="917" customFormat="false" ht="15" hidden="false" customHeight="false" outlineLevel="0" collapsed="false">
      <c r="A917" s="20" t="s">
        <v>739</v>
      </c>
      <c r="B917" s="20" t="s">
        <v>918</v>
      </c>
      <c r="C917" s="20" t="s">
        <v>338</v>
      </c>
      <c r="D917" s="20" t="s">
        <v>814</v>
      </c>
    </row>
    <row r="918" customFormat="false" ht="15" hidden="false" customHeight="false" outlineLevel="0" collapsed="false">
      <c r="A918" s="20" t="s">
        <v>739</v>
      </c>
      <c r="B918" s="20" t="s">
        <v>85</v>
      </c>
      <c r="C918" s="20" t="s">
        <v>86</v>
      </c>
      <c r="D918" s="20" t="s">
        <v>814</v>
      </c>
    </row>
    <row r="919" customFormat="false" ht="15" hidden="false" customHeight="false" outlineLevel="0" collapsed="false">
      <c r="A919" s="20" t="s">
        <v>739</v>
      </c>
      <c r="B919" s="20" t="s">
        <v>931</v>
      </c>
      <c r="C919" s="20" t="s">
        <v>932</v>
      </c>
      <c r="D919" s="20" t="s">
        <v>818</v>
      </c>
    </row>
    <row r="920" customFormat="false" ht="15" hidden="false" customHeight="false" outlineLevel="0" collapsed="false">
      <c r="A920" s="20" t="s">
        <v>739</v>
      </c>
      <c r="B920" s="20" t="s">
        <v>892</v>
      </c>
      <c r="C920" s="20" t="s">
        <v>893</v>
      </c>
      <c r="D920" s="20" t="s">
        <v>818</v>
      </c>
    </row>
    <row r="921" customFormat="false" ht="15" hidden="false" customHeight="false" outlineLevel="0" collapsed="false">
      <c r="A921" s="20" t="s">
        <v>747</v>
      </c>
      <c r="B921" s="20" t="s">
        <v>993</v>
      </c>
      <c r="C921" s="20" t="s">
        <v>191</v>
      </c>
      <c r="D921" s="20" t="s">
        <v>814</v>
      </c>
    </row>
    <row r="922" customFormat="false" ht="15" hidden="false" customHeight="false" outlineLevel="0" collapsed="false">
      <c r="A922" s="20" t="s">
        <v>747</v>
      </c>
      <c r="B922" s="20" t="s">
        <v>226</v>
      </c>
      <c r="C922" s="20" t="s">
        <v>227</v>
      </c>
      <c r="D922" s="20" t="s">
        <v>814</v>
      </c>
    </row>
    <row r="923" customFormat="false" ht="15" hidden="false" customHeight="false" outlineLevel="0" collapsed="false">
      <c r="A923" s="20" t="s">
        <v>747</v>
      </c>
      <c r="B923" s="20" t="s">
        <v>890</v>
      </c>
      <c r="C923" s="20" t="s">
        <v>755</v>
      </c>
      <c r="D923" s="20" t="s">
        <v>814</v>
      </c>
    </row>
    <row r="924" customFormat="false" ht="15" hidden="false" customHeight="false" outlineLevel="0" collapsed="false">
      <c r="A924" s="20" t="s">
        <v>747</v>
      </c>
      <c r="B924" s="20" t="s">
        <v>891</v>
      </c>
      <c r="C924" s="20" t="s">
        <v>763</v>
      </c>
      <c r="D924" s="20" t="s">
        <v>814</v>
      </c>
    </row>
    <row r="925" customFormat="false" ht="15" hidden="false" customHeight="false" outlineLevel="0" collapsed="false">
      <c r="A925" s="20" t="s">
        <v>747</v>
      </c>
      <c r="B925" s="20" t="s">
        <v>942</v>
      </c>
      <c r="C925" s="20" t="s">
        <v>640</v>
      </c>
      <c r="D925" s="20" t="s">
        <v>814</v>
      </c>
    </row>
    <row r="926" customFormat="false" ht="15" hidden="false" customHeight="false" outlineLevel="0" collapsed="false">
      <c r="A926" s="20" t="s">
        <v>747</v>
      </c>
      <c r="B926" s="20" t="s">
        <v>934</v>
      </c>
      <c r="C926" s="20" t="s">
        <v>345</v>
      </c>
      <c r="D926" s="20" t="s">
        <v>814</v>
      </c>
    </row>
    <row r="927" customFormat="false" ht="15" hidden="false" customHeight="false" outlineLevel="0" collapsed="false">
      <c r="A927" s="20" t="s">
        <v>747</v>
      </c>
      <c r="B927" s="20" t="s">
        <v>85</v>
      </c>
      <c r="C927" s="20" t="s">
        <v>86</v>
      </c>
      <c r="D927" s="20" t="s">
        <v>814</v>
      </c>
    </row>
    <row r="928" customFormat="false" ht="15" hidden="false" customHeight="false" outlineLevel="0" collapsed="false">
      <c r="A928" s="20" t="s">
        <v>747</v>
      </c>
      <c r="B928" s="20" t="s">
        <v>947</v>
      </c>
      <c r="C928" s="20" t="s">
        <v>948</v>
      </c>
      <c r="D928" s="20" t="s">
        <v>818</v>
      </c>
    </row>
    <row r="929" customFormat="false" ht="15" hidden="false" customHeight="false" outlineLevel="0" collapsed="false">
      <c r="A929" s="20" t="s">
        <v>747</v>
      </c>
      <c r="B929" s="20" t="s">
        <v>892</v>
      </c>
      <c r="C929" s="20" t="s">
        <v>893</v>
      </c>
      <c r="D929" s="20" t="s">
        <v>818</v>
      </c>
    </row>
    <row r="930" customFormat="false" ht="15" hidden="false" customHeight="false" outlineLevel="0" collapsed="false">
      <c r="A930" s="20" t="s">
        <v>755</v>
      </c>
      <c r="B930" s="20" t="s">
        <v>993</v>
      </c>
      <c r="C930" s="20" t="s">
        <v>191</v>
      </c>
      <c r="D930" s="20" t="s">
        <v>814</v>
      </c>
    </row>
    <row r="931" customFormat="false" ht="15" hidden="false" customHeight="false" outlineLevel="0" collapsed="false">
      <c r="A931" s="20" t="s">
        <v>755</v>
      </c>
      <c r="B931" s="20" t="s">
        <v>235</v>
      </c>
      <c r="C931" s="20" t="s">
        <v>236</v>
      </c>
      <c r="D931" s="20" t="s">
        <v>814</v>
      </c>
    </row>
    <row r="932" customFormat="false" ht="15" hidden="false" customHeight="false" outlineLevel="0" collapsed="false">
      <c r="A932" s="20" t="s">
        <v>755</v>
      </c>
      <c r="B932" s="20" t="s">
        <v>889</v>
      </c>
      <c r="C932" s="20" t="s">
        <v>747</v>
      </c>
      <c r="D932" s="20" t="s">
        <v>814</v>
      </c>
    </row>
    <row r="933" customFormat="false" ht="15" hidden="false" customHeight="false" outlineLevel="0" collapsed="false">
      <c r="A933" s="20" t="s">
        <v>755</v>
      </c>
      <c r="B933" s="20" t="s">
        <v>958</v>
      </c>
      <c r="C933" s="20" t="s">
        <v>647</v>
      </c>
      <c r="D933" s="20" t="s">
        <v>814</v>
      </c>
    </row>
    <row r="934" customFormat="false" ht="15" hidden="false" customHeight="false" outlineLevel="0" collapsed="false">
      <c r="A934" s="20" t="s">
        <v>755</v>
      </c>
      <c r="B934" s="20" t="s">
        <v>950</v>
      </c>
      <c r="C934" s="20" t="s">
        <v>352</v>
      </c>
      <c r="D934" s="20" t="s">
        <v>814</v>
      </c>
    </row>
    <row r="935" customFormat="false" ht="15" hidden="false" customHeight="false" outlineLevel="0" collapsed="false">
      <c r="A935" s="20" t="s">
        <v>755</v>
      </c>
      <c r="B935" s="20" t="s">
        <v>85</v>
      </c>
      <c r="C935" s="20" t="s">
        <v>86</v>
      </c>
      <c r="D935" s="20" t="s">
        <v>814</v>
      </c>
    </row>
    <row r="936" customFormat="false" ht="15" hidden="false" customHeight="false" outlineLevel="0" collapsed="false">
      <c r="A936" s="20" t="s">
        <v>755</v>
      </c>
      <c r="B936" s="20" t="s">
        <v>963</v>
      </c>
      <c r="C936" s="20" t="s">
        <v>964</v>
      </c>
      <c r="D936" s="20" t="s">
        <v>818</v>
      </c>
    </row>
    <row r="937" customFormat="false" ht="15" hidden="false" customHeight="false" outlineLevel="0" collapsed="false">
      <c r="A937" s="20" t="s">
        <v>755</v>
      </c>
      <c r="B937" s="20" t="s">
        <v>892</v>
      </c>
      <c r="C937" s="20" t="s">
        <v>893</v>
      </c>
      <c r="D937" s="20" t="s">
        <v>818</v>
      </c>
    </row>
    <row r="938" customFormat="false" ht="15" hidden="false" customHeight="false" outlineLevel="0" collapsed="false">
      <c r="A938" s="20" t="s">
        <v>763</v>
      </c>
      <c r="B938" s="20" t="s">
        <v>993</v>
      </c>
      <c r="C938" s="20" t="s">
        <v>191</v>
      </c>
      <c r="D938" s="20" t="s">
        <v>814</v>
      </c>
    </row>
    <row r="939" customFormat="false" ht="15" hidden="false" customHeight="false" outlineLevel="0" collapsed="false">
      <c r="A939" s="20" t="s">
        <v>763</v>
      </c>
      <c r="B939" s="20" t="s">
        <v>244</v>
      </c>
      <c r="C939" s="20" t="s">
        <v>245</v>
      </c>
      <c r="D939" s="20" t="s">
        <v>814</v>
      </c>
    </row>
    <row r="940" customFormat="false" ht="15" hidden="false" customHeight="false" outlineLevel="0" collapsed="false">
      <c r="A940" s="20" t="s">
        <v>763</v>
      </c>
      <c r="B940" s="20" t="s">
        <v>889</v>
      </c>
      <c r="C940" s="20" t="s">
        <v>747</v>
      </c>
      <c r="D940" s="20" t="s">
        <v>814</v>
      </c>
    </row>
    <row r="941" customFormat="false" ht="15" hidden="false" customHeight="false" outlineLevel="0" collapsed="false">
      <c r="A941" s="20" t="s">
        <v>763</v>
      </c>
      <c r="B941" s="20" t="s">
        <v>974</v>
      </c>
      <c r="C941" s="20" t="s">
        <v>654</v>
      </c>
      <c r="D941" s="20" t="s">
        <v>814</v>
      </c>
    </row>
    <row r="942" customFormat="false" ht="15" hidden="false" customHeight="false" outlineLevel="0" collapsed="false">
      <c r="A942" s="20" t="s">
        <v>763</v>
      </c>
      <c r="B942" s="20" t="s">
        <v>966</v>
      </c>
      <c r="C942" s="20" t="s">
        <v>359</v>
      </c>
      <c r="D942" s="20" t="s">
        <v>814</v>
      </c>
    </row>
    <row r="943" customFormat="false" ht="15" hidden="false" customHeight="false" outlineLevel="0" collapsed="false">
      <c r="A943" s="20" t="s">
        <v>763</v>
      </c>
      <c r="B943" s="20" t="s">
        <v>85</v>
      </c>
      <c r="C943" s="20" t="s">
        <v>86</v>
      </c>
      <c r="D943" s="20" t="s">
        <v>814</v>
      </c>
    </row>
    <row r="944" customFormat="false" ht="15" hidden="false" customHeight="false" outlineLevel="0" collapsed="false">
      <c r="A944" s="20" t="s">
        <v>763</v>
      </c>
      <c r="B944" s="20" t="s">
        <v>979</v>
      </c>
      <c r="C944" s="20" t="s">
        <v>980</v>
      </c>
      <c r="D944" s="20" t="s">
        <v>818</v>
      </c>
    </row>
    <row r="945" customFormat="false" ht="15" hidden="false" customHeight="false" outlineLevel="0" collapsed="false">
      <c r="A945" s="20" t="s">
        <v>763</v>
      </c>
      <c r="B945" s="20" t="s">
        <v>892</v>
      </c>
      <c r="C945" s="20" t="s">
        <v>893</v>
      </c>
      <c r="D945" s="20" t="s">
        <v>818</v>
      </c>
    </row>
    <row r="946" customFormat="false" ht="15" hidden="false" customHeight="false" outlineLevel="0" collapsed="false">
      <c r="A946" s="20" t="s">
        <v>771</v>
      </c>
      <c r="B946" s="20" t="s">
        <v>994</v>
      </c>
      <c r="C946" s="20" t="s">
        <v>199</v>
      </c>
      <c r="D946" s="20" t="s">
        <v>814</v>
      </c>
    </row>
    <row r="947" customFormat="false" ht="15" hidden="false" customHeight="false" outlineLevel="0" collapsed="false">
      <c r="A947" s="20" t="s">
        <v>771</v>
      </c>
      <c r="B947" s="20" t="s">
        <v>207</v>
      </c>
      <c r="C947" s="20" t="s">
        <v>208</v>
      </c>
      <c r="D947" s="20" t="s">
        <v>814</v>
      </c>
    </row>
    <row r="948" customFormat="false" ht="15" hidden="false" customHeight="false" outlineLevel="0" collapsed="false">
      <c r="A948" s="20" t="s">
        <v>771</v>
      </c>
      <c r="B948" s="20" t="s">
        <v>895</v>
      </c>
      <c r="C948" s="20" t="s">
        <v>779</v>
      </c>
      <c r="D948" s="20" t="s">
        <v>814</v>
      </c>
    </row>
    <row r="949" customFormat="false" ht="15" hidden="false" customHeight="false" outlineLevel="0" collapsed="false">
      <c r="A949" s="20" t="s">
        <v>771</v>
      </c>
      <c r="B949" s="20" t="s">
        <v>911</v>
      </c>
      <c r="C949" s="20" t="s">
        <v>661</v>
      </c>
      <c r="D949" s="20" t="s">
        <v>814</v>
      </c>
    </row>
    <row r="950" customFormat="false" ht="15" hidden="false" customHeight="false" outlineLevel="0" collapsed="false">
      <c r="A950" s="20" t="s">
        <v>771</v>
      </c>
      <c r="B950" s="20" t="s">
        <v>908</v>
      </c>
      <c r="C950" s="20" t="s">
        <v>556</v>
      </c>
      <c r="D950" s="20" t="s">
        <v>814</v>
      </c>
    </row>
    <row r="951" customFormat="false" ht="15" hidden="false" customHeight="false" outlineLevel="0" collapsed="false">
      <c r="A951" s="20" t="s">
        <v>771</v>
      </c>
      <c r="B951" s="20" t="s">
        <v>85</v>
      </c>
      <c r="C951" s="20" t="s">
        <v>86</v>
      </c>
      <c r="D951" s="20" t="s">
        <v>814</v>
      </c>
    </row>
    <row r="952" customFormat="false" ht="15" hidden="false" customHeight="false" outlineLevel="0" collapsed="false">
      <c r="A952" s="20" t="s">
        <v>771</v>
      </c>
      <c r="B952" s="20" t="s">
        <v>915</v>
      </c>
      <c r="C952" s="20" t="s">
        <v>916</v>
      </c>
      <c r="D952" s="20" t="s">
        <v>818</v>
      </c>
    </row>
    <row r="953" customFormat="false" ht="15" hidden="false" customHeight="false" outlineLevel="0" collapsed="false">
      <c r="A953" s="20" t="s">
        <v>771</v>
      </c>
      <c r="B953" s="20" t="s">
        <v>899</v>
      </c>
      <c r="C953" s="20" t="s">
        <v>900</v>
      </c>
      <c r="D953" s="20" t="s">
        <v>818</v>
      </c>
    </row>
    <row r="954" customFormat="false" ht="15" hidden="false" customHeight="false" outlineLevel="0" collapsed="false">
      <c r="A954" s="20" t="s">
        <v>779</v>
      </c>
      <c r="B954" s="20" t="s">
        <v>994</v>
      </c>
      <c r="C954" s="20" t="s">
        <v>199</v>
      </c>
      <c r="D954" s="20" t="s">
        <v>814</v>
      </c>
    </row>
    <row r="955" customFormat="false" ht="15" hidden="false" customHeight="false" outlineLevel="0" collapsed="false">
      <c r="A955" s="20" t="s">
        <v>779</v>
      </c>
      <c r="B955" s="20" t="s">
        <v>217</v>
      </c>
      <c r="C955" s="20" t="s">
        <v>218</v>
      </c>
      <c r="D955" s="20" t="s">
        <v>814</v>
      </c>
    </row>
    <row r="956" customFormat="false" ht="15" hidden="false" customHeight="false" outlineLevel="0" collapsed="false">
      <c r="A956" s="20" t="s">
        <v>779</v>
      </c>
      <c r="B956" s="20" t="s">
        <v>894</v>
      </c>
      <c r="C956" s="20" t="s">
        <v>771</v>
      </c>
      <c r="D956" s="20" t="s">
        <v>814</v>
      </c>
    </row>
    <row r="957" customFormat="false" ht="15" hidden="false" customHeight="false" outlineLevel="0" collapsed="false">
      <c r="A957" s="20" t="s">
        <v>779</v>
      </c>
      <c r="B957" s="20" t="s">
        <v>896</v>
      </c>
      <c r="C957" s="20" t="s">
        <v>787</v>
      </c>
      <c r="D957" s="20" t="s">
        <v>814</v>
      </c>
    </row>
    <row r="958" customFormat="false" ht="15" hidden="false" customHeight="false" outlineLevel="0" collapsed="false">
      <c r="A958" s="20" t="s">
        <v>779</v>
      </c>
      <c r="B958" s="20" t="s">
        <v>927</v>
      </c>
      <c r="C958" s="20" t="s">
        <v>668</v>
      </c>
      <c r="D958" s="20" t="s">
        <v>814</v>
      </c>
    </row>
    <row r="959" customFormat="false" ht="15" hidden="false" customHeight="false" outlineLevel="0" collapsed="false">
      <c r="A959" s="20" t="s">
        <v>779</v>
      </c>
      <c r="B959" s="20" t="s">
        <v>924</v>
      </c>
      <c r="C959" s="20" t="s">
        <v>563</v>
      </c>
      <c r="D959" s="20" t="s">
        <v>814</v>
      </c>
    </row>
    <row r="960" customFormat="false" ht="15" hidden="false" customHeight="false" outlineLevel="0" collapsed="false">
      <c r="A960" s="20" t="s">
        <v>779</v>
      </c>
      <c r="B960" s="20" t="s">
        <v>85</v>
      </c>
      <c r="C960" s="20" t="s">
        <v>86</v>
      </c>
      <c r="D960" s="20" t="s">
        <v>814</v>
      </c>
    </row>
    <row r="961" customFormat="false" ht="15" hidden="false" customHeight="false" outlineLevel="0" collapsed="false">
      <c r="A961" s="20" t="s">
        <v>779</v>
      </c>
      <c r="B961" s="20" t="s">
        <v>931</v>
      </c>
      <c r="C961" s="20" t="s">
        <v>932</v>
      </c>
      <c r="D961" s="20" t="s">
        <v>818</v>
      </c>
    </row>
    <row r="962" customFormat="false" ht="15" hidden="false" customHeight="false" outlineLevel="0" collapsed="false">
      <c r="A962" s="20" t="s">
        <v>779</v>
      </c>
      <c r="B962" s="20" t="s">
        <v>899</v>
      </c>
      <c r="C962" s="20" t="s">
        <v>900</v>
      </c>
      <c r="D962" s="20" t="s">
        <v>818</v>
      </c>
    </row>
    <row r="963" customFormat="false" ht="15" hidden="false" customHeight="false" outlineLevel="0" collapsed="false">
      <c r="A963" s="20" t="s">
        <v>787</v>
      </c>
      <c r="B963" s="20" t="s">
        <v>994</v>
      </c>
      <c r="C963" s="20" t="s">
        <v>199</v>
      </c>
      <c r="D963" s="20" t="s">
        <v>814</v>
      </c>
    </row>
    <row r="964" customFormat="false" ht="15" hidden="false" customHeight="false" outlineLevel="0" collapsed="false">
      <c r="A964" s="20" t="s">
        <v>787</v>
      </c>
      <c r="B964" s="20" t="s">
        <v>226</v>
      </c>
      <c r="C964" s="20" t="s">
        <v>227</v>
      </c>
      <c r="D964" s="20" t="s">
        <v>814</v>
      </c>
    </row>
    <row r="965" customFormat="false" ht="15" hidden="false" customHeight="false" outlineLevel="0" collapsed="false">
      <c r="A965" s="20" t="s">
        <v>787</v>
      </c>
      <c r="B965" s="20" t="s">
        <v>897</v>
      </c>
      <c r="C965" s="20" t="s">
        <v>795</v>
      </c>
      <c r="D965" s="20" t="s">
        <v>814</v>
      </c>
    </row>
    <row r="966" customFormat="false" ht="15" hidden="false" customHeight="false" outlineLevel="0" collapsed="false">
      <c r="A966" s="20" t="s">
        <v>787</v>
      </c>
      <c r="B966" s="20" t="s">
        <v>898</v>
      </c>
      <c r="C966" s="20" t="s">
        <v>803</v>
      </c>
      <c r="D966" s="20" t="s">
        <v>814</v>
      </c>
    </row>
    <row r="967" customFormat="false" ht="15" hidden="false" customHeight="false" outlineLevel="0" collapsed="false">
      <c r="A967" s="20" t="s">
        <v>787</v>
      </c>
      <c r="B967" s="20" t="s">
        <v>943</v>
      </c>
      <c r="C967" s="20" t="s">
        <v>675</v>
      </c>
      <c r="D967" s="20" t="s">
        <v>814</v>
      </c>
    </row>
    <row r="968" customFormat="false" ht="15" hidden="false" customHeight="false" outlineLevel="0" collapsed="false">
      <c r="A968" s="20" t="s">
        <v>787</v>
      </c>
      <c r="B968" s="20" t="s">
        <v>940</v>
      </c>
      <c r="C968" s="20" t="s">
        <v>570</v>
      </c>
      <c r="D968" s="20" t="s">
        <v>814</v>
      </c>
    </row>
    <row r="969" customFormat="false" ht="15" hidden="false" customHeight="false" outlineLevel="0" collapsed="false">
      <c r="A969" s="20" t="s">
        <v>787</v>
      </c>
      <c r="B969" s="20" t="s">
        <v>85</v>
      </c>
      <c r="C969" s="20" t="s">
        <v>86</v>
      </c>
      <c r="D969" s="20" t="s">
        <v>814</v>
      </c>
    </row>
    <row r="970" customFormat="false" ht="15" hidden="false" customHeight="false" outlineLevel="0" collapsed="false">
      <c r="A970" s="20" t="s">
        <v>787</v>
      </c>
      <c r="B970" s="20" t="s">
        <v>947</v>
      </c>
      <c r="C970" s="20" t="s">
        <v>948</v>
      </c>
      <c r="D970" s="20" t="s">
        <v>818</v>
      </c>
    </row>
    <row r="971" customFormat="false" ht="15" hidden="false" customHeight="false" outlineLevel="0" collapsed="false">
      <c r="A971" s="20" t="s">
        <v>787</v>
      </c>
      <c r="B971" s="20" t="s">
        <v>899</v>
      </c>
      <c r="C971" s="20" t="s">
        <v>900</v>
      </c>
      <c r="D971" s="20" t="s">
        <v>818</v>
      </c>
    </row>
    <row r="972" customFormat="false" ht="15" hidden="false" customHeight="false" outlineLevel="0" collapsed="false">
      <c r="A972" s="20" t="s">
        <v>795</v>
      </c>
      <c r="B972" s="20" t="s">
        <v>994</v>
      </c>
      <c r="C972" s="20" t="s">
        <v>199</v>
      </c>
      <c r="D972" s="20" t="s">
        <v>814</v>
      </c>
    </row>
    <row r="973" customFormat="false" ht="15" hidden="false" customHeight="false" outlineLevel="0" collapsed="false">
      <c r="A973" s="20" t="s">
        <v>795</v>
      </c>
      <c r="B973" s="20" t="s">
        <v>235</v>
      </c>
      <c r="C973" s="20" t="s">
        <v>236</v>
      </c>
      <c r="D973" s="20" t="s">
        <v>814</v>
      </c>
    </row>
    <row r="974" customFormat="false" ht="15" hidden="false" customHeight="false" outlineLevel="0" collapsed="false">
      <c r="A974" s="20" t="s">
        <v>795</v>
      </c>
      <c r="B974" s="20" t="s">
        <v>896</v>
      </c>
      <c r="C974" s="20" t="s">
        <v>787</v>
      </c>
      <c r="D974" s="20" t="s">
        <v>814</v>
      </c>
    </row>
    <row r="975" customFormat="false" ht="15" hidden="false" customHeight="false" outlineLevel="0" collapsed="false">
      <c r="A975" s="20" t="s">
        <v>795</v>
      </c>
      <c r="B975" s="20" t="s">
        <v>959</v>
      </c>
      <c r="C975" s="20" t="s">
        <v>682</v>
      </c>
      <c r="D975" s="20" t="s">
        <v>814</v>
      </c>
    </row>
    <row r="976" customFormat="false" ht="15" hidden="false" customHeight="false" outlineLevel="0" collapsed="false">
      <c r="A976" s="20" t="s">
        <v>795</v>
      </c>
      <c r="B976" s="20" t="s">
        <v>956</v>
      </c>
      <c r="C976" s="20" t="s">
        <v>577</v>
      </c>
      <c r="D976" s="20" t="s">
        <v>814</v>
      </c>
    </row>
    <row r="977" customFormat="false" ht="15" hidden="false" customHeight="false" outlineLevel="0" collapsed="false">
      <c r="A977" s="20" t="s">
        <v>795</v>
      </c>
      <c r="B977" s="20" t="s">
        <v>85</v>
      </c>
      <c r="C977" s="20" t="s">
        <v>86</v>
      </c>
      <c r="D977" s="20" t="s">
        <v>814</v>
      </c>
    </row>
    <row r="978" customFormat="false" ht="15" hidden="false" customHeight="false" outlineLevel="0" collapsed="false">
      <c r="A978" s="20" t="s">
        <v>795</v>
      </c>
      <c r="B978" s="20" t="s">
        <v>963</v>
      </c>
      <c r="C978" s="20" t="s">
        <v>964</v>
      </c>
      <c r="D978" s="20" t="s">
        <v>818</v>
      </c>
    </row>
    <row r="979" customFormat="false" ht="15" hidden="false" customHeight="false" outlineLevel="0" collapsed="false">
      <c r="A979" s="20" t="s">
        <v>795</v>
      </c>
      <c r="B979" s="20" t="s">
        <v>899</v>
      </c>
      <c r="C979" s="20" t="s">
        <v>900</v>
      </c>
      <c r="D979" s="20" t="s">
        <v>818</v>
      </c>
    </row>
    <row r="980" customFormat="false" ht="15" hidden="false" customHeight="false" outlineLevel="0" collapsed="false">
      <c r="A980" s="20" t="s">
        <v>803</v>
      </c>
      <c r="B980" s="20" t="s">
        <v>994</v>
      </c>
      <c r="C980" s="20" t="s">
        <v>199</v>
      </c>
      <c r="D980" s="20" t="s">
        <v>814</v>
      </c>
    </row>
    <row r="981" customFormat="false" ht="15" hidden="false" customHeight="false" outlineLevel="0" collapsed="false">
      <c r="A981" s="20" t="s">
        <v>803</v>
      </c>
      <c r="B981" s="20" t="s">
        <v>244</v>
      </c>
      <c r="C981" s="20" t="s">
        <v>245</v>
      </c>
      <c r="D981" s="20" t="s">
        <v>814</v>
      </c>
    </row>
    <row r="982" customFormat="false" ht="15" hidden="false" customHeight="false" outlineLevel="0" collapsed="false">
      <c r="A982" s="20" t="s">
        <v>803</v>
      </c>
      <c r="B982" s="20" t="s">
        <v>896</v>
      </c>
      <c r="C982" s="20" t="s">
        <v>787</v>
      </c>
      <c r="D982" s="20" t="s">
        <v>814</v>
      </c>
    </row>
    <row r="983" customFormat="false" ht="15" hidden="false" customHeight="false" outlineLevel="0" collapsed="false">
      <c r="A983" s="20" t="s">
        <v>803</v>
      </c>
      <c r="B983" s="20" t="s">
        <v>975</v>
      </c>
      <c r="C983" s="20" t="s">
        <v>689</v>
      </c>
      <c r="D983" s="20" t="s">
        <v>814</v>
      </c>
    </row>
    <row r="984" customFormat="false" ht="15" hidden="false" customHeight="false" outlineLevel="0" collapsed="false">
      <c r="A984" s="20" t="s">
        <v>803</v>
      </c>
      <c r="B984" s="20" t="s">
        <v>972</v>
      </c>
      <c r="C984" s="20" t="s">
        <v>584</v>
      </c>
      <c r="D984" s="20" t="s">
        <v>814</v>
      </c>
    </row>
    <row r="985" customFormat="false" ht="15" hidden="false" customHeight="false" outlineLevel="0" collapsed="false">
      <c r="A985" s="20" t="s">
        <v>803</v>
      </c>
      <c r="B985" s="20" t="s">
        <v>85</v>
      </c>
      <c r="C985" s="20" t="s">
        <v>86</v>
      </c>
      <c r="D985" s="20" t="s">
        <v>814</v>
      </c>
    </row>
    <row r="986" customFormat="false" ht="15" hidden="false" customHeight="false" outlineLevel="0" collapsed="false">
      <c r="A986" s="20" t="s">
        <v>803</v>
      </c>
      <c r="B986" s="20" t="s">
        <v>979</v>
      </c>
      <c r="C986" s="20" t="s">
        <v>980</v>
      </c>
      <c r="D986" s="20" t="s">
        <v>818</v>
      </c>
    </row>
    <row r="987" customFormat="false" ht="15" hidden="false" customHeight="false" outlineLevel="0" collapsed="false">
      <c r="A987" s="20" t="s">
        <v>803</v>
      </c>
      <c r="B987" s="20" t="s">
        <v>899</v>
      </c>
      <c r="C987" s="20" t="s">
        <v>900</v>
      </c>
      <c r="D987" s="20" t="s">
        <v>818</v>
      </c>
    </row>
  </sheetData>
  <autoFilter ref="A1:D987"/>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62"/>
    <col collapsed="false" customWidth="true" hidden="false" outlineLevel="0" max="4" min="3" style="0" width="32"/>
    <col collapsed="false" customWidth="true" hidden="false" outlineLevel="0" max="5" min="5" style="0" width="60"/>
  </cols>
  <sheetData>
    <row r="1" customFormat="false" ht="15" hidden="false" customHeight="false" outlineLevel="0" collapsed="false">
      <c r="A1" s="5" t="s">
        <v>37</v>
      </c>
      <c r="B1" s="5" t="s">
        <v>995</v>
      </c>
      <c r="C1" s="5" t="s">
        <v>996</v>
      </c>
      <c r="D1" s="5" t="s">
        <v>41</v>
      </c>
      <c r="E1" s="5" t="s">
        <v>997</v>
      </c>
    </row>
    <row r="2" customFormat="false" ht="15" hidden="false" customHeight="false" outlineLevel="0" collapsed="false">
      <c r="A2" s="20" t="n">
        <v>1</v>
      </c>
      <c r="B2" s="20" t="s">
        <v>998</v>
      </c>
      <c r="C2" s="20" t="s">
        <v>102</v>
      </c>
      <c r="D2" s="20" t="s">
        <v>999</v>
      </c>
      <c r="E2" s="20" t="s">
        <v>1000</v>
      </c>
    </row>
    <row r="3" customFormat="false" ht="15" hidden="false" customHeight="false" outlineLevel="0" collapsed="false">
      <c r="A3" s="20" t="n">
        <v>2</v>
      </c>
      <c r="B3" s="20" t="s">
        <v>1001</v>
      </c>
      <c r="C3" s="20" t="s">
        <v>111</v>
      </c>
      <c r="D3" s="20" t="s">
        <v>1002</v>
      </c>
      <c r="E3" s="20" t="s">
        <v>1003</v>
      </c>
    </row>
    <row r="4" customFormat="false" ht="15" hidden="false" customHeight="false" outlineLevel="0" collapsed="false">
      <c r="A4" s="20" t="n">
        <v>3</v>
      </c>
      <c r="B4" s="20" t="s">
        <v>1004</v>
      </c>
      <c r="C4" s="20" t="s">
        <v>118</v>
      </c>
      <c r="D4" s="20" t="s">
        <v>1005</v>
      </c>
      <c r="E4" s="20" t="s">
        <v>1006</v>
      </c>
    </row>
    <row r="5" customFormat="false" ht="15" hidden="false" customHeight="false" outlineLevel="0" collapsed="false">
      <c r="A5" s="20" t="n">
        <v>4</v>
      </c>
      <c r="B5" s="20" t="s">
        <v>1007</v>
      </c>
      <c r="C5" s="20" t="s">
        <v>126</v>
      </c>
      <c r="D5" s="20" t="s">
        <v>1008</v>
      </c>
      <c r="E5" s="20" t="s">
        <v>1009</v>
      </c>
    </row>
    <row r="6" customFormat="false" ht="15" hidden="false" customHeight="false" outlineLevel="0" collapsed="false">
      <c r="A6" s="20" t="n">
        <v>5</v>
      </c>
      <c r="B6" s="20" t="s">
        <v>1010</v>
      </c>
      <c r="C6" s="20" t="s">
        <v>133</v>
      </c>
      <c r="D6" s="20" t="s">
        <v>1011</v>
      </c>
      <c r="E6" s="20" t="s">
        <v>1012</v>
      </c>
    </row>
    <row r="7" customFormat="false" ht="15" hidden="false" customHeight="false" outlineLevel="0" collapsed="false">
      <c r="A7" s="20" t="n">
        <v>6</v>
      </c>
      <c r="B7" s="20" t="s">
        <v>1013</v>
      </c>
      <c r="C7" s="20" t="s">
        <v>141</v>
      </c>
      <c r="D7" s="20" t="s">
        <v>1014</v>
      </c>
      <c r="E7" s="20" t="s">
        <v>1015</v>
      </c>
    </row>
    <row r="8" customFormat="false" ht="15" hidden="false" customHeight="false" outlineLevel="0" collapsed="false">
      <c r="A8" s="20" t="n">
        <v>7</v>
      </c>
      <c r="B8" s="20" t="s">
        <v>1016</v>
      </c>
      <c r="C8" s="20" t="s">
        <v>149</v>
      </c>
      <c r="D8" s="20" t="s">
        <v>1017</v>
      </c>
      <c r="E8" s="20" t="s">
        <v>1018</v>
      </c>
    </row>
    <row r="9" customFormat="false" ht="15" hidden="false" customHeight="false" outlineLevel="0" collapsed="false">
      <c r="A9" s="20" t="n">
        <v>8</v>
      </c>
      <c r="B9" s="20" t="s">
        <v>1019</v>
      </c>
      <c r="C9" s="20" t="s">
        <v>156</v>
      </c>
      <c r="D9" s="20" t="s">
        <v>1020</v>
      </c>
      <c r="E9" s="20" t="s">
        <v>1021</v>
      </c>
    </row>
    <row r="10" customFormat="false" ht="15" hidden="false" customHeight="false" outlineLevel="0" collapsed="false">
      <c r="A10" s="20" t="n">
        <v>9</v>
      </c>
      <c r="B10" s="20" t="s">
        <v>1022</v>
      </c>
      <c r="C10" s="20" t="s">
        <v>163</v>
      </c>
      <c r="D10" s="20" t="s">
        <v>1023</v>
      </c>
      <c r="E10" s="20" t="s">
        <v>1024</v>
      </c>
    </row>
    <row r="11" customFormat="false" ht="15" hidden="false" customHeight="false" outlineLevel="0" collapsed="false">
      <c r="A11" s="20" t="n">
        <v>10</v>
      </c>
      <c r="B11" s="20" t="s">
        <v>1025</v>
      </c>
      <c r="C11" s="20" t="s">
        <v>170</v>
      </c>
      <c r="D11" s="20" t="s">
        <v>1026</v>
      </c>
      <c r="E11" s="20" t="s">
        <v>1027</v>
      </c>
    </row>
    <row r="12" customFormat="false" ht="15" hidden="false" customHeight="false" outlineLevel="0" collapsed="false">
      <c r="A12" s="20" t="n">
        <v>11</v>
      </c>
      <c r="B12" s="20" t="s">
        <v>1028</v>
      </c>
      <c r="C12" s="20" t="s">
        <v>177</v>
      </c>
      <c r="D12" s="20" t="s">
        <v>1029</v>
      </c>
      <c r="E12" s="20" t="s">
        <v>1030</v>
      </c>
    </row>
    <row r="13" customFormat="false" ht="15" hidden="false" customHeight="false" outlineLevel="0" collapsed="false">
      <c r="A13" s="20" t="n">
        <v>12</v>
      </c>
      <c r="B13" s="20" t="s">
        <v>1031</v>
      </c>
      <c r="C13" s="20" t="s">
        <v>184</v>
      </c>
      <c r="D13" s="20" t="s">
        <v>1032</v>
      </c>
      <c r="E13" s="20" t="s">
        <v>1033</v>
      </c>
    </row>
    <row r="14" customFormat="false" ht="15" hidden="false" customHeight="false" outlineLevel="0" collapsed="false">
      <c r="A14" s="20" t="n">
        <v>13</v>
      </c>
      <c r="B14" s="20" t="s">
        <v>1034</v>
      </c>
      <c r="C14" s="20" t="s">
        <v>191</v>
      </c>
      <c r="D14" s="20" t="s">
        <v>1035</v>
      </c>
      <c r="E14" s="20" t="s">
        <v>1036</v>
      </c>
    </row>
    <row r="15" customFormat="false" ht="15" hidden="false" customHeight="false" outlineLevel="0" collapsed="false">
      <c r="A15" s="20" t="n">
        <v>14</v>
      </c>
      <c r="B15" s="20" t="s">
        <v>1037</v>
      </c>
      <c r="C15" s="20" t="s">
        <v>199</v>
      </c>
      <c r="D15" s="20" t="s">
        <v>1038</v>
      </c>
      <c r="E15" s="20" t="s">
        <v>1039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2026-10-29T11:38:47Z</dcterms:created>
  <dc:creator>openpyxl</dc:creator>
  <dc:description/>
  <dc:language>en-US</dc:language>
  <cp:lastModifiedBy/>
  <dcterms:modified xsi:type="dcterms:W3CDTF">2026-10-29T11:38:47Z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